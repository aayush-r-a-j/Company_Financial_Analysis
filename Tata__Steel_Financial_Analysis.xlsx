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Bio Waste Management Project\"/>
    </mc:Choice>
  </mc:AlternateContent>
  <xr:revisionPtr revIDLastSave="0" documentId="8_{16DB37FB-C7B2-4CFE-A986-94A57F75BAB3}" xr6:coauthVersionLast="47" xr6:coauthVersionMax="47" xr10:uidLastSave="{00000000-0000-0000-0000-000000000000}"/>
  <bookViews>
    <workbookView xWindow="-120" yWindow="-120" windowWidth="20730" windowHeight="11040" firstSheet="6" activeTab="6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Raw Data" sheetId="6" r:id="rId6"/>
    <sheet name="Analysis" sheetId="7" r:id="rId7"/>
    <sheet name="Summary" sheetId="8" r:id="rId8"/>
    <sheet name="Sorted_Filtered" sheetId="9" r:id="rId9"/>
  </sheets>
  <definedNames>
    <definedName name="_xlnm._FilterDatabase" localSheetId="8" hidden="1">Sorted_Filtered!$A$1:$K$11</definedName>
    <definedName name="UPDATE">'Raw Data'!$E$1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7" i="8" l="1" a="1"/>
  <c r="B7" i="8" s="1"/>
  <c r="J7" i="7"/>
  <c r="J8" i="7"/>
  <c r="J9" i="7"/>
  <c r="J10" i="7"/>
  <c r="J11" i="7"/>
  <c r="J6" i="7"/>
  <c r="I4" i="7"/>
  <c r="I5" i="7"/>
  <c r="I6" i="7"/>
  <c r="I7" i="7"/>
  <c r="I8" i="7"/>
  <c r="I9" i="7"/>
  <c r="I10" i="7"/>
  <c r="I11" i="7"/>
  <c r="I3" i="7"/>
  <c r="H3" i="7"/>
  <c r="H4" i="7"/>
  <c r="H5" i="7"/>
  <c r="H6" i="7"/>
  <c r="H7" i="7"/>
  <c r="H8" i="7"/>
  <c r="H9" i="7"/>
  <c r="H10" i="7"/>
  <c r="H11" i="7"/>
  <c r="H2" i="7"/>
  <c r="G3" i="7"/>
  <c r="G4" i="7"/>
  <c r="G5" i="7"/>
  <c r="G6" i="7"/>
  <c r="G7" i="7"/>
  <c r="G8" i="7"/>
  <c r="G9" i="7"/>
  <c r="G10" i="7"/>
  <c r="G11" i="7"/>
  <c r="G2" i="7"/>
  <c r="D4" i="7"/>
  <c r="F4" i="7" s="1"/>
  <c r="D5" i="7"/>
  <c r="F5" i="7" s="1"/>
  <c r="K5" i="7" s="1"/>
  <c r="D6" i="7"/>
  <c r="F6" i="7" s="1"/>
  <c r="K6" i="7" s="1"/>
  <c r="D7" i="7"/>
  <c r="F7" i="7" s="1"/>
  <c r="K7" i="7" s="1"/>
  <c r="D8" i="7"/>
  <c r="F8" i="7" s="1"/>
  <c r="K8" i="7" s="1"/>
  <c r="D9" i="7"/>
  <c r="F9" i="7" s="1"/>
  <c r="K9" i="7" s="1"/>
  <c r="D10" i="7"/>
  <c r="F10" i="7" s="1"/>
  <c r="K10" i="7" s="1"/>
  <c r="D11" i="7"/>
  <c r="F11" i="7" s="1"/>
  <c r="K11" i="7" s="1"/>
  <c r="D3" i="7"/>
  <c r="F3" i="7" s="1"/>
  <c r="D2" i="7"/>
  <c r="F2" i="7" s="1"/>
  <c r="C6" i="3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4" i="2"/>
  <c r="E4" i="2"/>
  <c r="E5" i="2"/>
  <c r="F4" i="2"/>
  <c r="G4" i="2"/>
  <c r="H4" i="2"/>
  <c r="I4" i="2"/>
  <c r="I5" i="2"/>
  <c r="J4" i="2"/>
  <c r="J5" i="2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4" i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D12" i="1"/>
  <c r="E12" i="1"/>
  <c r="E23" i="2" s="1"/>
  <c r="F12" i="1"/>
  <c r="F13" i="1" s="1"/>
  <c r="G12" i="1"/>
  <c r="G13" i="1" s="1"/>
  <c r="H12" i="1"/>
  <c r="I12" i="1"/>
  <c r="I23" i="2" s="1"/>
  <c r="J12" i="1"/>
  <c r="J13" i="1" s="1"/>
  <c r="K12" i="1"/>
  <c r="K13" i="1" s="1"/>
  <c r="C15" i="1"/>
  <c r="C14" i="1"/>
  <c r="D15" i="1"/>
  <c r="E15" i="1"/>
  <c r="F15" i="1"/>
  <c r="F14" i="1"/>
  <c r="G15" i="1"/>
  <c r="G14" i="1"/>
  <c r="H15" i="1"/>
  <c r="I15" i="1"/>
  <c r="J15" i="1"/>
  <c r="J14" i="1"/>
  <c r="K15" i="1"/>
  <c r="K14" i="1"/>
  <c r="B15" i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J20" i="2"/>
  <c r="C20" i="2"/>
  <c r="E20" i="2"/>
  <c r="L12" i="1"/>
  <c r="L13" i="1" s="1"/>
  <c r="L14" i="1" s="1"/>
  <c r="L25" i="1" s="1"/>
  <c r="L11" i="1"/>
  <c r="L10" i="1"/>
  <c r="N11" i="1" s="1"/>
  <c r="L6" i="1"/>
  <c r="L4" i="1"/>
  <c r="L23" i="1" s="1"/>
  <c r="A1" i="3"/>
  <c r="A1" i="2"/>
  <c r="A1" i="4"/>
  <c r="H23" i="1"/>
  <c r="I23" i="1"/>
  <c r="J23" i="1"/>
  <c r="L5" i="1"/>
  <c r="M11" i="1"/>
  <c r="B6" i="8" l="1" a="1"/>
  <c r="B6" i="8" s="1"/>
  <c r="B5" i="8"/>
  <c r="B4" i="8"/>
  <c r="B3" i="8"/>
  <c r="B2" i="8"/>
  <c r="B1" i="8"/>
  <c r="K3" i="7"/>
  <c r="K4" i="7"/>
  <c r="B9" i="8"/>
  <c r="B8" i="8"/>
  <c r="L19" i="1"/>
  <c r="L24" i="1" s="1"/>
  <c r="B13" i="1"/>
  <c r="B23" i="2"/>
  <c r="B16" i="2"/>
  <c r="B14" i="1"/>
  <c r="I14" i="1"/>
  <c r="K25" i="1" s="1"/>
  <c r="M25" i="1" s="1"/>
  <c r="M14" i="1" s="1"/>
  <c r="H14" i="1"/>
  <c r="K24" i="1"/>
  <c r="L9" i="1"/>
  <c r="L8" i="1"/>
  <c r="L7" i="1"/>
  <c r="C24" i="2"/>
  <c r="I16" i="2"/>
  <c r="G16" i="2"/>
  <c r="J23" i="2"/>
  <c r="K24" i="2"/>
  <c r="J24" i="2"/>
  <c r="I24" i="2"/>
  <c r="H24" i="2"/>
  <c r="G24" i="2"/>
  <c r="F24" i="2"/>
  <c r="E24" i="2"/>
  <c r="D24" i="2"/>
  <c r="D13" i="1"/>
  <c r="J25" i="1"/>
  <c r="M24" i="1"/>
  <c r="M9" i="1"/>
  <c r="N9" i="1"/>
  <c r="N8" i="1"/>
  <c r="M8" i="1"/>
  <c r="I20" i="2"/>
  <c r="H20" i="2"/>
  <c r="K23" i="1"/>
  <c r="H6" i="1"/>
  <c r="H19" i="1" s="1"/>
  <c r="J24" i="1" s="1"/>
  <c r="F6" i="1"/>
  <c r="F19" i="1" s="1"/>
  <c r="E1" i="4"/>
  <c r="H24" i="1" l="1"/>
  <c r="I24" i="1"/>
  <c r="N24" i="1"/>
  <c r="M23" i="1"/>
  <c r="M4" i="1" s="1"/>
  <c r="N23" i="1"/>
  <c r="N4" i="1" s="1"/>
  <c r="E13" i="1"/>
  <c r="E14" i="1" s="1"/>
  <c r="I25" i="1" s="1"/>
  <c r="D14" i="1"/>
  <c r="H25" i="1" s="1"/>
  <c r="N25" i="1" s="1"/>
  <c r="N14" i="1" s="1"/>
  <c r="N6" i="1"/>
  <c r="N10" i="1" s="1"/>
  <c r="N12" i="1" s="1"/>
  <c r="N13" i="1" s="1"/>
  <c r="N5" i="1"/>
  <c r="M6" i="1"/>
  <c r="M10" i="1" s="1"/>
  <c r="M12" i="1" s="1"/>
  <c r="M13" i="1" s="1"/>
  <c r="M15" i="1" s="1"/>
  <c r="N15" i="1" l="1"/>
  <c r="M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<sst xmlns="http://schemas.openxmlformats.org/spreadsheetml/2006/main" count="176" uniqueCount="111">
  <si>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</si>
  <si>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</si>
  <si>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</si>
  <si>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</si>
  <si>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</si>
  <si>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</si>
  <si>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</si>
  <si>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</si>
  <si>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</si>
  <si>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</si>
  <si>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</si>
  <si>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</si>
  <si>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</si>
  <si>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</si>
  <si>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EPS</t>
  </si>
  <si>
    <t>Price to earning</t>
  </si>
  <si>
    <t>Price</t>
  </si>
  <si>
    <t>RATIOS:</t>
  </si>
  <si>
    <t>Dividend Payout</t>
  </si>
  <si>
    <t>OPM</t>
  </si>
  <si>
    <t>TRENDS:</t>
  </si>
  <si>
    <t>10 YEARS</t>
  </si>
  <si>
    <t>7 YEARS</t>
  </si>
  <si>
    <t>5 YEARS</t>
  </si>
  <si>
    <t>3 YEARS</t>
  </si>
  <si>
    <t>RECENT</t>
  </si>
  <si>
    <t>BEST</t>
  </si>
  <si>
    <t>WORST</t>
  </si>
  <si>
    <t>Sales Growth</t>
  </si>
  <si>
    <t>Price to Earning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</si>
  <si>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</si>
  <si>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</si>
  <si>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</si>
  <si>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</si>
  <si>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</si>
  <si>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</si>
  <si>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</si>
  <si>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</si>
  <si>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</si>
  <si>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Working Capital</t>
  </si>
  <si>
    <t>Debtors</t>
  </si>
  <si>
    <t>Inventory</t>
  </si>
  <si>
    <t>Debtor Days</t>
  </si>
  <si>
    <t>Inventory Turnover</t>
  </si>
  <si>
    <t>Return on Equity</t>
  </si>
  <si>
    <t>Return on Capital Emp</t>
  </si>
  <si>
    <t>Cash from Operating Activity</t>
  </si>
  <si>
    <t>Cash from Investing Activity</t>
  </si>
  <si>
    <t>Cash from Financing Activity</t>
  </si>
  <si>
    <t>Net Cash Flow</t>
  </si>
  <si>
    <t>How to use it?</t>
  </si>
  <si>
    <t>You can customize this workbook as you want.</t>
  </si>
  <si>
    <t>You can add custom formating, add conditional formating, add your own formulas… do ANYTHING.</t>
  </si>
  <si>
    <t>Please don't edit the "Data Sheet" only.</t>
  </si>
  <si>
    <t>After customization, you can upload this back on Screener.</t>
  </si>
  <si>
    <t>Upload on:</t>
  </si>
  <si>
    <t xml:space="preserve"> https://www.screener.in/excel/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</si>
  <si>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</si>
  <si>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</si>
  <si>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</si>
  <si>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</si>
  <si>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</si>
  <si>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t>COMPANY NAME</t>
  </si>
  <si>
    <t>TATA STEEL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</si>
  <si>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</si>
  <si>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</si>
  <si>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</si>
  <si>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</si>
  <si>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</si>
  <si>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</si>
  <si>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</si>
  <si>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</si>
  <si>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</si>
  <si>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</si>
  <si>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</si>
  <si>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</si>
  <si>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</si>
  <si>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</si>
  <si>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</si>
  <si>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</si>
  <si>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</si>
  <si>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Dividend Amount</t>
  </si>
  <si>
    <t>Quarters</t>
  </si>
  <si>
    <t>BALANCE SHEET</t>
  </si>
  <si>
    <t>Receivables</t>
  </si>
  <si>
    <t>Cash &amp; Bank</t>
  </si>
  <si>
    <t>No. of Equity Shares</t>
  </si>
  <si>
    <t>New Bonus Shares</t>
  </si>
  <si>
    <t>Face value</t>
  </si>
  <si>
    <t>CASH FLOW:</t>
  </si>
  <si>
    <t>PRICE:</t>
  </si>
  <si>
    <t>DERIVED:</t>
  </si>
  <si>
    <t>Adjusted Equity Shares in Cr</t>
  </si>
  <si>
    <t>Quarter</t>
  </si>
  <si>
    <t>Revenue</t>
  </si>
  <si>
    <t>Net Profit</t>
  </si>
  <si>
    <t>Operating Margin %</t>
  </si>
  <si>
    <t>Net Profit Margin %</t>
  </si>
  <si>
    <t>Expense Ratio %</t>
  </si>
  <si>
    <t>QoQ Revenue Growth %</t>
  </si>
  <si>
    <t>YoY Revenue Growth %</t>
  </si>
  <si>
    <t>Op. Margin Change</t>
  </si>
  <si>
    <t>Highest operating margin</t>
  </si>
  <si>
    <t>Quarter of highest margin</t>
  </si>
  <si>
    <t>Lowest operating margin</t>
  </si>
  <si>
    <t>Quarter of lowest margin</t>
  </si>
  <si>
    <t>Average operating margin</t>
  </si>
  <si>
    <t>Latest operating margin</t>
  </si>
  <si>
    <t>Revenue growth, first to last quarter</t>
  </si>
  <si>
    <t>Quarters where margin fell</t>
  </si>
  <si>
    <t>Quarters compared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</si>
</sst>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 * #,##0.00_ ;_ * \-#,##0.00_ ;_ * &quot;-&quot;??_ ;_ @_ "/>
    <numFmt numFmtId="166" formatCode="[$-409]mmm\-yy;@"/>
    <numFmt numFmtId="167" formatCode="0.0%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5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29">
    <xf numFmtId="0" fontId="0" fillId="0" borderId="0" xfId="0"/>
    <xf numFmtId="165" fontId="1" fillId="0" borderId="0" xfId="1" applyFont="1" applyBorder="1"/>
    <xf numFmtId="0" fontId="1" fillId="0" borderId="0" xfId="0" applyFont="1"/>
    <xf numFmtId="0" fontId="8" fillId="0" borderId="0" xfId="0" applyFont="1"/>
    <xf numFmtId="165" fontId="0" fillId="0" borderId="0" xfId="1" applyFont="1" applyBorder="1"/>
    <xf numFmtId="10" fontId="0" fillId="0" borderId="0" xfId="0" applyNumberFormat="1"/>
    <xf numFmtId="165" fontId="3" fillId="0" borderId="0" xfId="1" applyFont="1" applyBorder="1"/>
    <xf numFmtId="9" fontId="3" fillId="0" borderId="0" xfId="1" applyNumberFormat="1" applyFont="1" applyBorder="1"/>
    <xf numFmtId="165" fontId="2" fillId="2" borderId="0" xfId="3" applyNumberFormat="1" applyFont="1" applyBorder="1"/>
    <xf numFmtId="165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6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65" fontId="0" fillId="0" borderId="0" xfId="1" applyFont="1" applyBorder="1" applyAlignment="1">
      <alignment horizontal="center"/>
    </xf>
    <xf numFmtId="165" fontId="1" fillId="0" borderId="0" xfId="1" applyFont="1" applyBorder="1" applyAlignment="1">
      <alignment horizontal="center"/>
    </xf>
    <xf numFmtId="10" fontId="1" fillId="0" borderId="0" xfId="0" applyNumberFormat="1" applyFont="1"/>
    <xf numFmtId="166" fontId="2" fillId="5" borderId="0" xfId="1" applyNumberFormat="1" applyFont="1" applyFill="1" applyBorder="1"/>
    <xf numFmtId="166" fontId="9" fillId="0" borderId="0" xfId="1" applyNumberFormat="1" applyFont="1" applyFill="1" applyBorder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9" fillId="0" borderId="0" xfId="0" applyFont="1"/>
    <xf numFmtId="164" fontId="0" fillId="0" borderId="0" xfId="1" applyNumberFormat="1" applyFont="1" applyBorder="1"/>
    <xf numFmtId="17" fontId="0" fillId="0" borderId="0" xfId="0" applyNumberFormat="1"/>
    <xf numFmtId="167" fontId="0" fillId="0" borderId="0" xfId="0" applyNumberFormat="1"/>
    <xf numFmtId="165" fontId="4" fillId="0" borderId="0" xfId="2" applyNumberFormat="1" applyBorder="1" applyAlignment="1" applyProtection="1">
      <alignment horizontal="center"/>
    </xf>
    <xf numFmtId="165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Vs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Analysis!$A$2:$A$11</c:f>
              <c:numCache>
                <c:formatCode>[$-409]mmm\-yy;@</c:formatCode>
                <c:ptCount val="10"/>
                <c:pt idx="0">
                  <c:v>45382</c:v>
                </c:pt>
                <c:pt idx="1">
                  <c:v>45473</c:v>
                </c:pt>
                <c:pt idx="2">
                  <c:v>45565</c:v>
                </c:pt>
                <c:pt idx="3">
                  <c:v>45657</c:v>
                </c:pt>
                <c:pt idx="4">
                  <c:v>45747</c:v>
                </c:pt>
                <c:pt idx="5">
                  <c:v>45838</c:v>
                </c:pt>
                <c:pt idx="6">
                  <c:v>45930</c:v>
                </c:pt>
                <c:pt idx="7">
                  <c:v>46022</c:v>
                </c:pt>
                <c:pt idx="8">
                  <c:v>46112</c:v>
                </c:pt>
                <c:pt idx="9">
                  <c:v>46203</c:v>
                </c:pt>
              </c:numCache>
            </c:numRef>
          </c:cat>
          <c:val>
            <c:numRef>
              <c:f>Analysis!$B$2:$B$11</c:f>
              <c:numCache>
                <c:formatCode>General</c:formatCode>
                <c:ptCount val="10"/>
                <c:pt idx="0">
                  <c:v>58687.31</c:v>
                </c:pt>
                <c:pt idx="1">
                  <c:v>54771.39</c:v>
                </c:pt>
                <c:pt idx="2">
                  <c:v>53904.71</c:v>
                </c:pt>
                <c:pt idx="3">
                  <c:v>53648.3</c:v>
                </c:pt>
                <c:pt idx="4">
                  <c:v>56218.11</c:v>
                </c:pt>
                <c:pt idx="5">
                  <c:v>53178.12</c:v>
                </c:pt>
                <c:pt idx="6">
                  <c:v>58689.29</c:v>
                </c:pt>
                <c:pt idx="7">
                  <c:v>57002.400000000001</c:v>
                </c:pt>
                <c:pt idx="8">
                  <c:v>63270.13</c:v>
                </c:pt>
                <c:pt idx="9">
                  <c:v>60794.29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5B-44A0-9FD7-818BFC495406}"/>
            </c:ext>
          </c:extLst>
        </c:ser>
        <c:ser>
          <c:idx val="1"/>
          <c:order val="1"/>
          <c:tx>
            <c:strRef>
              <c:f>Analysis!$C$1</c:f>
              <c:strCache>
                <c:ptCount val="1"/>
                <c:pt idx="0">
                  <c:v>Expenses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Analysis!$A$2:$A$11</c:f>
              <c:numCache>
                <c:formatCode>[$-409]mmm\-yy;@</c:formatCode>
                <c:ptCount val="10"/>
                <c:pt idx="0">
                  <c:v>45382</c:v>
                </c:pt>
                <c:pt idx="1">
                  <c:v>45473</c:v>
                </c:pt>
                <c:pt idx="2">
                  <c:v>45565</c:v>
                </c:pt>
                <c:pt idx="3">
                  <c:v>45657</c:v>
                </c:pt>
                <c:pt idx="4">
                  <c:v>45747</c:v>
                </c:pt>
                <c:pt idx="5">
                  <c:v>45838</c:v>
                </c:pt>
                <c:pt idx="6">
                  <c:v>45930</c:v>
                </c:pt>
                <c:pt idx="7">
                  <c:v>46022</c:v>
                </c:pt>
                <c:pt idx="8">
                  <c:v>46112</c:v>
                </c:pt>
                <c:pt idx="9">
                  <c:v>46203</c:v>
                </c:pt>
              </c:numCache>
            </c:numRef>
          </c:cat>
          <c:val>
            <c:numRef>
              <c:f>Analysis!$C$2:$C$11</c:f>
              <c:numCache>
                <c:formatCode>General</c:formatCode>
                <c:ptCount val="10"/>
                <c:pt idx="0">
                  <c:v>52086.68</c:v>
                </c:pt>
                <c:pt idx="1">
                  <c:v>48076.92</c:v>
                </c:pt>
                <c:pt idx="2">
                  <c:v>47788.92</c:v>
                </c:pt>
                <c:pt idx="3">
                  <c:v>47744.81</c:v>
                </c:pt>
                <c:pt idx="4">
                  <c:v>49658.89</c:v>
                </c:pt>
                <c:pt idx="5">
                  <c:v>45750.58</c:v>
                </c:pt>
                <c:pt idx="6">
                  <c:v>49792.75</c:v>
                </c:pt>
                <c:pt idx="7">
                  <c:v>48802.7</c:v>
                </c:pt>
                <c:pt idx="8">
                  <c:v>53441.47</c:v>
                </c:pt>
                <c:pt idx="9">
                  <c:v>51529.95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5B-44A0-9FD7-818BFC4954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16036615"/>
        <c:axId val="116038663"/>
      </c:barChart>
      <c:catAx>
        <c:axId val="1160366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Quarter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38663"/>
        <c:crosses val="autoZero"/>
        <c:auto val="0"/>
        <c:lblAlgn val="ctr"/>
        <c:lblOffset val="100"/>
        <c:noMultiLvlLbl val="1"/>
      </c:catAx>
      <c:valAx>
        <c:axId val="116038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₹Crore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36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 </a:t>
            </a:r>
            <a:r>
              <a:rPr lang="en-GB" sz="1400" b="0" i="0" u="none" strike="noStrike" baseline="0"/>
              <a:t>Operating Margin vs Net Profit Margin (%)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Analysis!$F$1</c:f>
              <c:strCache>
                <c:ptCount val="1"/>
                <c:pt idx="0">
                  <c:v>Operating Margin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Analysis!$A$2:$A$11</c:f>
              <c:numCache>
                <c:formatCode>[$-409]mmm\-yy;@</c:formatCode>
                <c:ptCount val="10"/>
                <c:pt idx="0">
                  <c:v>45382</c:v>
                </c:pt>
                <c:pt idx="1">
                  <c:v>45473</c:v>
                </c:pt>
                <c:pt idx="2">
                  <c:v>45565</c:v>
                </c:pt>
                <c:pt idx="3">
                  <c:v>45657</c:v>
                </c:pt>
                <c:pt idx="4">
                  <c:v>45747</c:v>
                </c:pt>
                <c:pt idx="5">
                  <c:v>45838</c:v>
                </c:pt>
                <c:pt idx="6">
                  <c:v>45930</c:v>
                </c:pt>
                <c:pt idx="7">
                  <c:v>46022</c:v>
                </c:pt>
                <c:pt idx="8">
                  <c:v>46112</c:v>
                </c:pt>
                <c:pt idx="9">
                  <c:v>46203</c:v>
                </c:pt>
              </c:numCache>
            </c:numRef>
          </c:cat>
          <c:val>
            <c:numRef>
              <c:f>Analysis!$F$2:$F$11</c:f>
              <c:numCache>
                <c:formatCode>0.0%</c:formatCode>
                <c:ptCount val="10"/>
                <c:pt idx="0">
                  <c:v>0.11247116284593718</c:v>
                </c:pt>
                <c:pt idx="1">
                  <c:v>0.12222567292887768</c:v>
                </c:pt>
                <c:pt idx="2">
                  <c:v>0.11345557744397476</c:v>
                </c:pt>
                <c:pt idx="3">
                  <c:v>0.11004057910502299</c:v>
                </c:pt>
                <c:pt idx="4">
                  <c:v>0.11667450222001417</c:v>
                </c:pt>
                <c:pt idx="5">
                  <c:v>0.13967285793480477</c:v>
                </c:pt>
                <c:pt idx="6">
                  <c:v>0.15158711240159833</c:v>
                </c:pt>
                <c:pt idx="7">
                  <c:v>0.14384832919315685</c:v>
                </c:pt>
                <c:pt idx="8">
                  <c:v>0.15534439395019414</c:v>
                </c:pt>
                <c:pt idx="9">
                  <c:v>0.15238832462719779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F5-4840-97FA-638E44DEAE63}"/>
            </c:ext>
          </c:extLst>
        </c:ser>
        <c:ser>
          <c:idx val="1"/>
          <c:order val="1"/>
          <c:tx>
            <c:strRef>
              <c:f>Analysis!$G$1</c:f>
              <c:strCache>
                <c:ptCount val="1"/>
                <c:pt idx="0">
                  <c:v>Net Profit Margin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Analysis!$A$2:$A$11</c:f>
              <c:numCache>
                <c:formatCode>[$-409]mmm\-yy;@</c:formatCode>
                <c:ptCount val="10"/>
                <c:pt idx="0">
                  <c:v>45382</c:v>
                </c:pt>
                <c:pt idx="1">
                  <c:v>45473</c:v>
                </c:pt>
                <c:pt idx="2">
                  <c:v>45565</c:v>
                </c:pt>
                <c:pt idx="3">
                  <c:v>45657</c:v>
                </c:pt>
                <c:pt idx="4">
                  <c:v>45747</c:v>
                </c:pt>
                <c:pt idx="5">
                  <c:v>45838</c:v>
                </c:pt>
                <c:pt idx="6">
                  <c:v>45930</c:v>
                </c:pt>
                <c:pt idx="7">
                  <c:v>46022</c:v>
                </c:pt>
                <c:pt idx="8">
                  <c:v>46112</c:v>
                </c:pt>
                <c:pt idx="9">
                  <c:v>46203</c:v>
                </c:pt>
              </c:numCache>
            </c:numRef>
          </c:cat>
          <c:val>
            <c:numRef>
              <c:f>Analysis!$G$2:$G$11</c:f>
              <c:numCache>
                <c:formatCode>0.0%</c:formatCode>
                <c:ptCount val="10"/>
                <c:pt idx="0">
                  <c:v>1.0419288258398622E-2</c:v>
                </c:pt>
                <c:pt idx="1">
                  <c:v>1.7520278378912787E-2</c:v>
                </c:pt>
                <c:pt idx="2">
                  <c:v>1.5461543156432899E-2</c:v>
                </c:pt>
                <c:pt idx="3">
                  <c:v>6.0885433462010904E-3</c:v>
                </c:pt>
                <c:pt idx="4">
                  <c:v>2.3138629171275946E-2</c:v>
                </c:pt>
                <c:pt idx="5">
                  <c:v>3.9070204061369594E-2</c:v>
                </c:pt>
                <c:pt idx="6">
                  <c:v>5.2850358216976215E-2</c:v>
                </c:pt>
                <c:pt idx="7">
                  <c:v>4.7168189409568718E-2</c:v>
                </c:pt>
                <c:pt idx="8">
                  <c:v>4.6242041860827532E-2</c:v>
                </c:pt>
                <c:pt idx="9">
                  <c:v>3.8134337945224785E-2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F5-4840-97FA-638E44DEA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6287800"/>
        <c:axId val="566289600"/>
      </c:lineChart>
      <c:catAx>
        <c:axId val="566287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/>
                  <a:t>Quarter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289600"/>
        <c:crosses val="autoZero"/>
        <c:auto val="0"/>
        <c:lblAlgn val="ctr"/>
        <c:lblOffset val="100"/>
        <c:noMultiLvlLbl val="0"/>
      </c:catAx>
      <c:valAx>
        <c:axId val="56628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/>
                  <a:t>Margin %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287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Operating Profit vs Net Profit (₹ crore)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Analysis!$D$1</c:f>
              <c:strCache>
                <c:ptCount val="1"/>
                <c:pt idx="0">
                  <c:v>Operating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Analysis!$A$2:$A$11</c:f>
              <c:numCache>
                <c:formatCode>[$-409]mmm\-yy;@</c:formatCode>
                <c:ptCount val="10"/>
                <c:pt idx="0">
                  <c:v>45382</c:v>
                </c:pt>
                <c:pt idx="1">
                  <c:v>45473</c:v>
                </c:pt>
                <c:pt idx="2">
                  <c:v>45565</c:v>
                </c:pt>
                <c:pt idx="3">
                  <c:v>45657</c:v>
                </c:pt>
                <c:pt idx="4">
                  <c:v>45747</c:v>
                </c:pt>
                <c:pt idx="5">
                  <c:v>45838</c:v>
                </c:pt>
                <c:pt idx="6">
                  <c:v>45930</c:v>
                </c:pt>
                <c:pt idx="7">
                  <c:v>46022</c:v>
                </c:pt>
                <c:pt idx="8">
                  <c:v>46112</c:v>
                </c:pt>
                <c:pt idx="9">
                  <c:v>46203</c:v>
                </c:pt>
              </c:numCache>
            </c:numRef>
          </c:cat>
          <c:val>
            <c:numRef>
              <c:f>Analysis!$D$2:$D$11</c:f>
              <c:numCache>
                <c:formatCode>General</c:formatCode>
                <c:ptCount val="10"/>
                <c:pt idx="0">
                  <c:v>6600.6299999999974</c:v>
                </c:pt>
                <c:pt idx="1">
                  <c:v>6694.4700000000012</c:v>
                </c:pt>
                <c:pt idx="2">
                  <c:v>6115.7900000000009</c:v>
                </c:pt>
                <c:pt idx="3">
                  <c:v>5903.4900000000052</c:v>
                </c:pt>
                <c:pt idx="4">
                  <c:v>6559.2200000000012</c:v>
                </c:pt>
                <c:pt idx="5">
                  <c:v>7427.5400000000009</c:v>
                </c:pt>
                <c:pt idx="6">
                  <c:v>8896.5400000000009</c:v>
                </c:pt>
                <c:pt idx="7">
                  <c:v>8199.7000000000044</c:v>
                </c:pt>
                <c:pt idx="8">
                  <c:v>9828.6599999999962</c:v>
                </c:pt>
                <c:pt idx="9">
                  <c:v>9264.3400000000038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1E-4417-A545-5F48DFAC2CC9}"/>
            </c:ext>
          </c:extLst>
        </c:ser>
        <c:ser>
          <c:idx val="1"/>
          <c:order val="1"/>
          <c:tx>
            <c:strRef>
              <c:f>Analysis!$E$1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Analysis!$A$2:$A$11</c:f>
              <c:numCache>
                <c:formatCode>[$-409]mmm\-yy;@</c:formatCode>
                <c:ptCount val="10"/>
                <c:pt idx="0">
                  <c:v>45382</c:v>
                </c:pt>
                <c:pt idx="1">
                  <c:v>45473</c:v>
                </c:pt>
                <c:pt idx="2">
                  <c:v>45565</c:v>
                </c:pt>
                <c:pt idx="3">
                  <c:v>45657</c:v>
                </c:pt>
                <c:pt idx="4">
                  <c:v>45747</c:v>
                </c:pt>
                <c:pt idx="5">
                  <c:v>45838</c:v>
                </c:pt>
                <c:pt idx="6">
                  <c:v>45930</c:v>
                </c:pt>
                <c:pt idx="7">
                  <c:v>46022</c:v>
                </c:pt>
                <c:pt idx="8">
                  <c:v>46112</c:v>
                </c:pt>
                <c:pt idx="9">
                  <c:v>46203</c:v>
                </c:pt>
              </c:numCache>
            </c:numRef>
          </c:cat>
          <c:val>
            <c:numRef>
              <c:f>Analysis!$E$2:$E$11</c:f>
              <c:numCache>
                <c:formatCode>General</c:formatCode>
                <c:ptCount val="10"/>
                <c:pt idx="0">
                  <c:v>611.48</c:v>
                </c:pt>
                <c:pt idx="1">
                  <c:v>959.61</c:v>
                </c:pt>
                <c:pt idx="2">
                  <c:v>833.45</c:v>
                </c:pt>
                <c:pt idx="3">
                  <c:v>326.64</c:v>
                </c:pt>
                <c:pt idx="4">
                  <c:v>1300.81</c:v>
                </c:pt>
                <c:pt idx="5">
                  <c:v>2077.6799999999998</c:v>
                </c:pt>
                <c:pt idx="6">
                  <c:v>3101.75</c:v>
                </c:pt>
                <c:pt idx="7">
                  <c:v>2688.7</c:v>
                </c:pt>
                <c:pt idx="8">
                  <c:v>2925.74</c:v>
                </c:pt>
                <c:pt idx="9">
                  <c:v>2318.35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1E-4417-A545-5F48DFAC2C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6235960"/>
        <c:axId val="566243880"/>
      </c:barChart>
      <c:catAx>
        <c:axId val="566235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/>
                  <a:t>Quarter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243880"/>
        <c:crosses val="autoZero"/>
        <c:auto val="0"/>
        <c:lblAlgn val="ctr"/>
        <c:lblOffset val="100"/>
        <c:noMultiLvlLbl val="0"/>
      </c:catAx>
      <c:valAx>
        <c:axId val="56624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/>
                  <a:t>₹ crore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235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781050</xdr:colOff>
      <xdr:row>12</xdr:row>
      <xdr:rowOff>85725</xdr:rowOff>
    </xdr:from>
    <xdr:to>
      <xdr:col>6</xdr:col>
      <xdr:colOff>600075</xdr:colOff>
      <xdr:row>28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4CB720-1ABE-4EEF-5A56-CD009A1EF4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838200</xdr:colOff>
      <xdr:row>12</xdr:row>
      <xdr:rowOff>80962</xdr:rowOff>
    </xdr:from>
    <xdr:to>
      <xdr:col>10</xdr:col>
      <xdr:colOff>1057275</xdr:colOff>
      <xdr:row>28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348009A-5249-2979-5F75-A1834CA725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381000</xdr:colOff>
      <xdr:row>30</xdr:row>
      <xdr:rowOff>57150</xdr:rowOff>
    </xdr:from>
    <xdr:to>
      <xdr:col>7</xdr:col>
      <xdr:colOff>895350</xdr:colOff>
      <xdr:row>47</xdr:row>
      <xdr:rowOff>119062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21A1FC4-52C0-8E31-5640-69C2D30880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4">
  <tableColumns count="14">
    <tableColumn id="1" xr3:uid="{00000000-0010-0000-0000-000001000000}" name="Column1" headerRowDxfId="33" dataDxfId="32"/>
    <tableColumn id="2" xr3:uid="{00000000-0010-0000-0000-000002000000}" name="Column2" headerRowDxfId="31"/>
    <tableColumn id="3" xr3:uid="{00000000-0010-0000-0000-000003000000}" name="Column3" headerRowDxfId="30"/>
    <tableColumn id="4" xr3:uid="{00000000-0010-0000-0000-000004000000}" name="Column4" headerRowDxfId="29"/>
    <tableColumn id="5" xr3:uid="{00000000-0010-0000-0000-000005000000}" name="Column5" headerRowDxfId="28"/>
    <tableColumn id="6" xr3:uid="{00000000-0010-0000-0000-000006000000}" name="Column6" headerRowDxfId="27"/>
    <tableColumn id="7" xr3:uid="{00000000-0010-0000-0000-000007000000}" name="Column7" headerRowDxfId="26"/>
    <tableColumn id="8" xr3:uid="{00000000-0010-0000-0000-000008000000}" name="Column8" headerRowDxfId="25"/>
    <tableColumn id="9" xr3:uid="{00000000-0010-0000-0000-000009000000}" name="Column9" headerRowDxfId="24"/>
    <tableColumn id="10" xr3:uid="{00000000-0010-0000-0000-00000A000000}" name="Column10" headerRowDxfId="23"/>
    <tableColumn id="11" xr3:uid="{00000000-0010-0000-0000-00000B000000}" name="Column11" headerRowDxfId="22"/>
    <tableColumn id="12" xr3:uid="{00000000-0010-0000-0000-00000C000000}" name="Column12" headerRowDxfId="21"/>
    <tableColumn id="13" xr3:uid="{00000000-0010-0000-0000-00000D000000}" name="Column13" headerRowDxfId="20" dataDxfId="19"/>
    <tableColumn id="14" xr3:uid="{00000000-0010-0000-0000-00000E000000}" name="Column14" headerRowDxfId="18" dataDxfId="17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6">
  <tableColumns count="11">
    <tableColumn id="1" xr3:uid="{00000000-0010-0000-0100-000001000000}" name="Column1" headerRowDxfId="15"/>
    <tableColumn id="2" xr3:uid="{00000000-0010-0000-0100-000002000000}" name="Column2" headerRowDxfId="14"/>
    <tableColumn id="3" xr3:uid="{00000000-0010-0000-0100-000003000000}" name="Column3" headerRowDxfId="13"/>
    <tableColumn id="4" xr3:uid="{00000000-0010-0000-0100-000004000000}" name="Column4" headerRowDxfId="12"/>
    <tableColumn id="5" xr3:uid="{00000000-0010-0000-0100-000005000000}" name="Column5" headerRowDxfId="11"/>
    <tableColumn id="6" xr3:uid="{00000000-0010-0000-0100-000006000000}" name="Column6" headerRowDxfId="10"/>
    <tableColumn id="7" xr3:uid="{00000000-0010-0000-0100-000007000000}" name="Column7" headerRowDxfId="9"/>
    <tableColumn id="8" xr3:uid="{00000000-0010-0000-0100-000008000000}" name="Column8" headerRowDxfId="8"/>
    <tableColumn id="9" xr3:uid="{00000000-0010-0000-0100-000009000000}" name="Column9" headerRowDxfId="7"/>
    <tableColumn id="10" xr3:uid="{00000000-0010-0000-0100-00000A000000}" name="Column10" headerRowDxfId="6"/>
    <tableColumn id="11" xr3:uid="{00000000-0010-0000-0100-00000B000000}" name="Column11" headerRowDxfId="5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D9" activePane="bottomRight" state="frozen"/>
      <selection pane="topRight" activeCell="I2" sqref="I2"/>
      <selection pane="bottomLeft" activeCell="I2" sqref="I2"/>
      <selection pane="bottomRight" activeCell="C1" sqref="C1"/>
    </sheetView>
  </sheetViews>
  <sheetFormatPr defaultColWidth="8.85546875" defaultRowHeight="15" x14ac:dyDescent="0.25"/>
  <cols>
    <col min="1" max="1" width="20.7109375" customWidth="1"/>
    <col min="2" max="6" width="13.42578125" customWidth="1"/>
    <col min="7" max="7" width="14.85546875" bestFit="1" customWidth="1"/>
    <col min="8" max="11" width="13.42578125" customWidth="1"/>
    <col min="12" max="12" width="13.28515625" customWidth="1"/>
    <col min="13" max="14" width="12.140625" customWidth="1"/>
  </cols>
  <sheetData>
    <row r="1" spans="1:14" s="2" customFormat="1" x14ac:dyDescent="0.25">
      <c r="A1" s="2" t="str">
        <f>'Raw Data'!B1</f>
        <v>TATA STEEL LTD</v>
      </c>
      <c r="H1" t="str">
        <f>UPDATE</f>
        <v/>
      </c>
      <c r="J1" s="3"/>
      <c r="K1" s="3"/>
      <c r="M1" s="2" t="s">
        <v>0</v>
      </c>
    </row>
    <row r="3" spans="1:14" s="2" customFormat="1" x14ac:dyDescent="0.25">
      <c r="A3" s="11" t="s">
        <v>1</v>
      </c>
      <c r="B3" s="12">
        <f>'Raw Data'!B16</f>
        <v>42825</v>
      </c>
      <c r="C3" s="12">
        <f>'Raw Data'!C16</f>
        <v>43190</v>
      </c>
      <c r="D3" s="12">
        <f>'Raw Data'!D16</f>
        <v>43555</v>
      </c>
      <c r="E3" s="12">
        <f>'Raw Data'!E16</f>
        <v>43921</v>
      </c>
      <c r="F3" s="12">
        <f>'Raw Data'!F16</f>
        <v>44286</v>
      </c>
      <c r="G3" s="12">
        <f>'Raw Data'!G16</f>
        <v>44651</v>
      </c>
      <c r="H3" s="12">
        <f>'Raw Data'!H16</f>
        <v>45016</v>
      </c>
      <c r="I3" s="12">
        <f>'Raw Data'!I16</f>
        <v>45382</v>
      </c>
      <c r="J3" s="12">
        <f>'Raw Data'!J16</f>
        <v>45747</v>
      </c>
      <c r="K3" s="12">
        <f>'Raw Data'!K16</f>
        <v>46112</v>
      </c>
      <c r="L3" s="13" t="s">
        <v>2</v>
      </c>
      <c r="M3" s="13" t="s">
        <v>3</v>
      </c>
      <c r="N3" s="13" t="s">
        <v>4</v>
      </c>
    </row>
    <row r="4" spans="1:14" s="2" customFormat="1" x14ac:dyDescent="0.25">
      <c r="A4" s="2" t="s">
        <v>5</v>
      </c>
      <c r="B4" s="1">
        <f>'Raw Data'!B17</f>
        <v>112299.42</v>
      </c>
      <c r="C4" s="1">
        <f>'Raw Data'!C17</f>
        <v>123249.07</v>
      </c>
      <c r="D4" s="1">
        <f>'Raw Data'!D17</f>
        <v>157668.99</v>
      </c>
      <c r="E4" s="1">
        <f>'Raw Data'!E17</f>
        <v>139816.65</v>
      </c>
      <c r="F4" s="1">
        <f>'Raw Data'!F17</f>
        <v>156477.4</v>
      </c>
      <c r="G4" s="1">
        <f>'Raw Data'!G17</f>
        <v>243959.17</v>
      </c>
      <c r="H4" s="1">
        <f>'Raw Data'!H17</f>
        <v>243352.69</v>
      </c>
      <c r="I4" s="1">
        <f>'Raw Data'!I17</f>
        <v>229170.78</v>
      </c>
      <c r="J4" s="1">
        <f>'Raw Data'!J17</f>
        <v>218542.51</v>
      </c>
      <c r="K4" s="1">
        <f>'Raw Data'!K17</f>
        <v>232139.94</v>
      </c>
      <c r="L4" s="1">
        <f>SUM(Quarters!H4:K4)</f>
        <v>239756.11000000002</v>
      </c>
      <c r="M4" s="1">
        <f>$K4+M23*K4</f>
        <v>246583.38436400131</v>
      </c>
      <c r="N4" s="1">
        <f>$K4+N23*L4</f>
        <v>228399.5456924318</v>
      </c>
    </row>
    <row r="5" spans="1:14" x14ac:dyDescent="0.25">
      <c r="A5" t="s">
        <v>6</v>
      </c>
      <c r="B5" s="6">
        <f>SUM('Raw Data'!B18,'Raw Data'!B20:B24, -1*'Raw Data'!B19)</f>
        <v>99155.790000000008</v>
      </c>
      <c r="C5" s="6">
        <f>SUM('Raw Data'!C18,'Raw Data'!C20:C24, -1*'Raw Data'!C19)</f>
        <v>101815.88</v>
      </c>
      <c r="D5" s="6">
        <f>SUM('Raw Data'!D18,'Raw Data'!D20:D24, -1*'Raw Data'!D19)</f>
        <v>128350.76999999999</v>
      </c>
      <c r="E5" s="6">
        <f>SUM('Raw Data'!E18,'Raw Data'!E20:E24, -1*'Raw Data'!E19)</f>
        <v>122353.59</v>
      </c>
      <c r="F5" s="6">
        <f>SUM('Raw Data'!F18,'Raw Data'!F20:F24, -1*'Raw Data'!F19)</f>
        <v>125973.14000000001</v>
      </c>
      <c r="G5" s="6">
        <f>SUM('Raw Data'!G18,'Raw Data'!G20:G24, -1*'Raw Data'!G19)</f>
        <v>180469.21999999997</v>
      </c>
      <c r="H5" s="6">
        <f>SUM('Raw Data'!H18,'Raw Data'!H20:H24, -1*'Raw Data'!H19)</f>
        <v>211052.52999999997</v>
      </c>
      <c r="I5" s="6">
        <f>SUM('Raw Data'!I18,'Raw Data'!I20:I24, -1*'Raw Data'!I19)</f>
        <v>206922.86000000002</v>
      </c>
      <c r="J5" s="6">
        <f>SUM('Raw Data'!J18,'Raw Data'!J20:J24, -1*'Raw Data'!J19)</f>
        <v>193244.06000000003</v>
      </c>
      <c r="K5" s="6">
        <f>SUM('Raw Data'!K18,'Raw Data'!K20:K24, -1*'Raw Data'!K19)</f>
        <v>197787.5</v>
      </c>
      <c r="L5" s="6">
        <f>SUM(Quarters!H5:K5)</f>
        <v>203566.87</v>
      </c>
      <c r="M5" s="6">
        <f t="shared" ref="M5:N5" si="0">M4-M6</f>
        <v>209363.62267884094</v>
      </c>
      <c r="N5" s="6">
        <f t="shared" si="0"/>
        <v>200885.29677616089</v>
      </c>
    </row>
    <row r="6" spans="1:14" s="2" customFormat="1" x14ac:dyDescent="0.25">
      <c r="A6" s="2" t="s">
        <v>7</v>
      </c>
      <c r="B6" s="1">
        <f>B4-B5</f>
        <v>13143.62999999999</v>
      </c>
      <c r="C6" s="1">
        <f t="shared" ref="C6:K6" si="1">C4-C5</f>
        <v>21433.190000000002</v>
      </c>
      <c r="D6" s="1">
        <f t="shared" si="1"/>
        <v>29318.22</v>
      </c>
      <c r="E6" s="1">
        <f t="shared" si="1"/>
        <v>17463.059999999998</v>
      </c>
      <c r="F6" s="1">
        <f t="shared" si="1"/>
        <v>30504.25999999998</v>
      </c>
      <c r="G6" s="1">
        <f t="shared" si="1"/>
        <v>63489.950000000041</v>
      </c>
      <c r="H6" s="1">
        <f t="shared" si="1"/>
        <v>32300.160000000033</v>
      </c>
      <c r="I6" s="1">
        <f t="shared" si="1"/>
        <v>22247.919999999984</v>
      </c>
      <c r="J6" s="1">
        <f t="shared" si="1"/>
        <v>25298.449999999983</v>
      </c>
      <c r="K6" s="1">
        <f t="shared" si="1"/>
        <v>34352.44</v>
      </c>
      <c r="L6" s="1">
        <f>SUM(Quarters!H6:K6)</f>
        <v>36189.240000000005</v>
      </c>
      <c r="M6" s="1">
        <f>M4*M24</f>
        <v>37219.76168516036</v>
      </c>
      <c r="N6" s="1">
        <f>N4*N24</f>
        <v>27514.248916270921</v>
      </c>
    </row>
    <row r="7" spans="1:14" x14ac:dyDescent="0.25">
      <c r="A7" t="s">
        <v>8</v>
      </c>
      <c r="B7" s="6">
        <f>'Raw Data'!B25</f>
        <v>-3789.11</v>
      </c>
      <c r="C7" s="6">
        <f>'Raw Data'!C25</f>
        <v>10898.41</v>
      </c>
      <c r="D7" s="6">
        <f>'Raw Data'!D25</f>
        <v>1524.31</v>
      </c>
      <c r="E7" s="6">
        <f>'Raw Data'!E25</f>
        <v>-2883.63</v>
      </c>
      <c r="F7" s="6">
        <f>'Raw Data'!F25</f>
        <v>179.78</v>
      </c>
      <c r="G7" s="6">
        <f>'Raw Data'!G25</f>
        <v>1299.99</v>
      </c>
      <c r="H7" s="6">
        <f>'Raw Data'!H25</f>
        <v>1568.86</v>
      </c>
      <c r="I7" s="6">
        <f>'Raw Data'!I25</f>
        <v>-6005.23</v>
      </c>
      <c r="J7" s="6">
        <f>'Raw Data'!J25</f>
        <v>876.7</v>
      </c>
      <c r="K7" s="6">
        <f>'Raw Data'!K25</f>
        <v>737.82</v>
      </c>
      <c r="L7" s="6">
        <f>SUM(Quarters!H7:K7)</f>
        <v>484.90000000000003</v>
      </c>
      <c r="M7" s="6">
        <v>0</v>
      </c>
      <c r="N7" s="6">
        <v>0</v>
      </c>
    </row>
    <row r="8" spans="1:14" x14ac:dyDescent="0.25">
      <c r="A8" t="s">
        <v>9</v>
      </c>
      <c r="B8" s="6">
        <f>'Raw Data'!B26</f>
        <v>5672.88</v>
      </c>
      <c r="C8" s="6">
        <f>'Raw Data'!C26</f>
        <v>5741.7</v>
      </c>
      <c r="D8" s="6">
        <f>'Raw Data'!D26</f>
        <v>7341.83</v>
      </c>
      <c r="E8" s="6">
        <f>'Raw Data'!E26</f>
        <v>8440.73</v>
      </c>
      <c r="F8" s="6">
        <f>'Raw Data'!F26</f>
        <v>9233.64</v>
      </c>
      <c r="G8" s="6">
        <f>'Raw Data'!G26</f>
        <v>9100.8700000000008</v>
      </c>
      <c r="H8" s="6">
        <f>'Raw Data'!H26</f>
        <v>9335.2000000000007</v>
      </c>
      <c r="I8" s="6">
        <f>'Raw Data'!I26</f>
        <v>9882.16</v>
      </c>
      <c r="J8" s="6">
        <f>'Raw Data'!J26</f>
        <v>10421.33</v>
      </c>
      <c r="K8" s="6">
        <f>'Raw Data'!K26</f>
        <v>11954.51</v>
      </c>
      <c r="L8" s="6">
        <f>SUM(Quarters!H8:K8)</f>
        <v>12849.859999999999</v>
      </c>
      <c r="M8" s="6">
        <f>+$L8</f>
        <v>12849.859999999999</v>
      </c>
      <c r="N8" s="6">
        <f>+$L8</f>
        <v>12849.859999999999</v>
      </c>
    </row>
    <row r="9" spans="1:14" x14ac:dyDescent="0.25">
      <c r="A9" t="s">
        <v>10</v>
      </c>
      <c r="B9" s="6">
        <f>'Raw Data'!B27</f>
        <v>5072.2</v>
      </c>
      <c r="C9" s="6">
        <f>'Raw Data'!C27</f>
        <v>5454.74</v>
      </c>
      <c r="D9" s="6">
        <f>'Raw Data'!D27</f>
        <v>7660.1</v>
      </c>
      <c r="E9" s="6">
        <f>'Raw Data'!E27</f>
        <v>7533.46</v>
      </c>
      <c r="F9" s="6">
        <f>'Raw Data'!F27</f>
        <v>7606.71</v>
      </c>
      <c r="G9" s="6">
        <f>'Raw Data'!G27</f>
        <v>5462.2</v>
      </c>
      <c r="H9" s="6">
        <f>'Raw Data'!H27</f>
        <v>6298.7</v>
      </c>
      <c r="I9" s="6">
        <f>'Raw Data'!I27</f>
        <v>7507.57</v>
      </c>
      <c r="J9" s="6">
        <f>'Raw Data'!J27</f>
        <v>7340.95</v>
      </c>
      <c r="K9" s="6">
        <f>'Raw Data'!K27</f>
        <v>7167.06</v>
      </c>
      <c r="L9" s="6">
        <f>SUM(Quarters!H9:K9)</f>
        <v>7085.14</v>
      </c>
      <c r="M9" s="6">
        <f>+$L9</f>
        <v>7085.14</v>
      </c>
      <c r="N9" s="6">
        <f>+$L9</f>
        <v>7085.14</v>
      </c>
    </row>
    <row r="10" spans="1:14" x14ac:dyDescent="0.25">
      <c r="A10" t="s">
        <v>11</v>
      </c>
      <c r="B10" s="6">
        <f>'Raw Data'!B28</f>
        <v>-1390.56</v>
      </c>
      <c r="C10" s="6">
        <f>'Raw Data'!C28</f>
        <v>21135.16</v>
      </c>
      <c r="D10" s="6">
        <f>'Raw Data'!D28</f>
        <v>15840.6</v>
      </c>
      <c r="E10" s="6">
        <f>'Raw Data'!E28</f>
        <v>-1394.76</v>
      </c>
      <c r="F10" s="6">
        <f>'Raw Data'!F28</f>
        <v>13843.69</v>
      </c>
      <c r="G10" s="6">
        <f>'Raw Data'!G28</f>
        <v>50226.87</v>
      </c>
      <c r="H10" s="6">
        <f>'Raw Data'!H28</f>
        <v>18235.12</v>
      </c>
      <c r="I10" s="6">
        <f>'Raw Data'!I28</f>
        <v>-1147.04</v>
      </c>
      <c r="J10" s="6">
        <f>'Raw Data'!J28</f>
        <v>8412.8700000000008</v>
      </c>
      <c r="K10" s="6">
        <f>'Raw Data'!K28</f>
        <v>15968.69</v>
      </c>
      <c r="L10" s="6">
        <f>SUM(Quarters!H10:K10)</f>
        <v>16739.14</v>
      </c>
      <c r="M10" s="6">
        <f>M6+M7-SUM(M8:M9)</f>
        <v>17284.76168516036</v>
      </c>
      <c r="N10" s="6">
        <f>N6+N7-SUM(N8:N9)</f>
        <v>7579.2489162709207</v>
      </c>
    </row>
    <row r="11" spans="1:14" x14ac:dyDescent="0.25">
      <c r="A11" t="s">
        <v>12</v>
      </c>
      <c r="B11" s="6">
        <f>'Raw Data'!B29</f>
        <v>2778.01</v>
      </c>
      <c r="C11" s="6">
        <f>'Raw Data'!C29</f>
        <v>3392.33</v>
      </c>
      <c r="D11" s="6">
        <f>'Raw Data'!D29</f>
        <v>6718.43</v>
      </c>
      <c r="E11" s="6">
        <f>'Raw Data'!E29</f>
        <v>-2568.41</v>
      </c>
      <c r="F11" s="6">
        <f>'Raw Data'!F29</f>
        <v>5653.9</v>
      </c>
      <c r="G11" s="6">
        <f>'Raw Data'!G29</f>
        <v>8477.5499999999993</v>
      </c>
      <c r="H11" s="6">
        <f>'Raw Data'!H29</f>
        <v>10159.77</v>
      </c>
      <c r="I11" s="6">
        <f>'Raw Data'!I29</f>
        <v>3762.57</v>
      </c>
      <c r="J11" s="6">
        <f>'Raw Data'!J29</f>
        <v>5239.09</v>
      </c>
      <c r="K11" s="6">
        <f>'Raw Data'!K29</f>
        <v>5082.87</v>
      </c>
      <c r="L11" s="6">
        <f>SUM(Quarters!H11:K11)</f>
        <v>5475.4400000000005</v>
      </c>
      <c r="M11" s="7">
        <f>IF($L10&gt;0,$L11/$L10,0)</f>
        <v>0.32710402087562446</v>
      </c>
      <c r="N11" s="7">
        <f>IF($L10&gt;0,$L11/$L10,0)</f>
        <v>0.32710402087562446</v>
      </c>
    </row>
    <row r="12" spans="1:14" s="2" customFormat="1" x14ac:dyDescent="0.25">
      <c r="A12" s="2" t="s">
        <v>13</v>
      </c>
      <c r="B12" s="1">
        <f>'Raw Data'!B30</f>
        <v>-4240.8</v>
      </c>
      <c r="C12" s="1">
        <f>'Raw Data'!C30</f>
        <v>13434.33</v>
      </c>
      <c r="D12" s="1">
        <f>'Raw Data'!D30</f>
        <v>10218.33</v>
      </c>
      <c r="E12" s="1">
        <f>'Raw Data'!E30</f>
        <v>1556.54</v>
      </c>
      <c r="F12" s="1">
        <f>'Raw Data'!F30</f>
        <v>7490.22</v>
      </c>
      <c r="G12" s="1">
        <f>'Raw Data'!G30</f>
        <v>40153.93</v>
      </c>
      <c r="H12" s="1">
        <f>'Raw Data'!H30</f>
        <v>8760.4</v>
      </c>
      <c r="I12" s="1">
        <f>'Raw Data'!I30</f>
        <v>-4437.4399999999996</v>
      </c>
      <c r="J12" s="1">
        <f>'Raw Data'!J30</f>
        <v>3420.51</v>
      </c>
      <c r="K12" s="1">
        <f>'Raw Data'!K30</f>
        <v>10793.87</v>
      </c>
      <c r="L12" s="1">
        <f>SUM(Quarters!H12:K12)</f>
        <v>11034.539999999999</v>
      </c>
      <c r="M12" s="1">
        <f>M10-M11*M10</f>
        <v>11630.846638067473</v>
      </c>
      <c r="N12" s="1">
        <f>N10-N11*N10</f>
        <v>5100.0461205414831</v>
      </c>
    </row>
    <row r="13" spans="1:14" x14ac:dyDescent="0.25">
      <c r="A13" t="s">
        <v>14</v>
      </c>
      <c r="B13" s="6">
        <f>IF('Raw Data'!B93&gt;0,B12/'Raw Data'!B93,0)</f>
        <v>-3.7641795814027805</v>
      </c>
      <c r="C13" s="6">
        <f>IF('Raw Data'!C93&gt;0,C12/'Raw Data'!C93,0)</f>
        <v>11.925937433420922</v>
      </c>
      <c r="D13" s="6">
        <f>IF('Raw Data'!D93&gt;0,D12/'Raw Data'!D93,0)</f>
        <v>9.0709460359168741</v>
      </c>
      <c r="E13" s="6">
        <f>IF('Raw Data'!E93&gt;0,E12/'Raw Data'!E93,0)</f>
        <v>1.3817610453710196</v>
      </c>
      <c r="F13" s="6">
        <f>IF('Raw Data'!F93&gt;0,F12/'Raw Data'!F93,0)</f>
        <v>6.2596378040932992</v>
      </c>
      <c r="G13" s="6">
        <f>IF('Raw Data'!G93&gt;0,G12/'Raw Data'!G93,0)</f>
        <v>32.878023417669695</v>
      </c>
      <c r="H13" s="6">
        <f>IF('Raw Data'!H93&gt;0,H12/'Raw Data'!H93,0)</f>
        <v>7.1680235650288422</v>
      </c>
      <c r="I13" s="6">
        <f>IF('Raw Data'!I93&gt;0,I12/'Raw Data'!I93,0)</f>
        <v>-3.5546441302519325</v>
      </c>
      <c r="J13" s="6">
        <f>IF('Raw Data'!J93&gt;0,J12/'Raw Data'!J93,0)</f>
        <v>2.7400248327792691</v>
      </c>
      <c r="K13" s="6">
        <f>IF('Raw Data'!K93&gt;0,K12/'Raw Data'!K93,0)</f>
        <v>8.6465093923979666</v>
      </c>
      <c r="L13" s="6">
        <f>IF('Raw Data'!$B6&gt;0,'Profit &amp; Loss'!L12/'Raw Data'!$B6,0)</f>
        <v>8.8423598345404102</v>
      </c>
      <c r="M13" s="6">
        <f>IF('Raw Data'!$B6&gt;0,'Profit &amp; Loss'!M12/'Raw Data'!$B6,0)</f>
        <v>9.3202010373017092</v>
      </c>
      <c r="N13" s="6">
        <f>IF('Raw Data'!$B6&gt;0,'Profit &amp; Loss'!N12/'Raw Data'!$B6,0)</f>
        <v>4.0868439437058228</v>
      </c>
    </row>
    <row r="14" spans="1:14" x14ac:dyDescent="0.25">
      <c r="A14" t="s">
        <v>15</v>
      </c>
      <c r="B14" s="6">
        <f>IF(B15&gt;0,B15/B13,"")</f>
        <v>-12.217801782682512</v>
      </c>
      <c r="C14" s="6">
        <f t="shared" ref="C14:K14" si="2">IF(C15&gt;0,C15/C13,"")</f>
        <v>4.7887220873687042</v>
      </c>
      <c r="D14" s="6">
        <f t="shared" si="2"/>
        <v>5.7436126059737749</v>
      </c>
      <c r="E14" s="6">
        <f t="shared" si="2"/>
        <v>19.511333084919116</v>
      </c>
      <c r="F14" s="6">
        <f t="shared" si="2"/>
        <v>12.970399013647127</v>
      </c>
      <c r="G14" s="6">
        <f t="shared" si="2"/>
        <v>3.975908111609499</v>
      </c>
      <c r="H14" s="6">
        <f t="shared" si="2"/>
        <v>14.578635107985937</v>
      </c>
      <c r="I14" s="6">
        <f t="shared" si="2"/>
        <v>-43.844051412526142</v>
      </c>
      <c r="J14" s="6">
        <f t="shared" si="2"/>
        <v>56.291460630139944</v>
      </c>
      <c r="K14" s="6">
        <f t="shared" si="2"/>
        <v>22.189301056988825</v>
      </c>
      <c r="L14" s="6">
        <f t="shared" ref="L14" si="3">IF(L13&gt;0,L15/L13,0)</f>
        <v>19.791096864935014</v>
      </c>
      <c r="M14" s="6">
        <f>M25</f>
        <v>32.757286184021261</v>
      </c>
      <c r="N14" s="6">
        <f>N25</f>
        <v>17.760052062618659</v>
      </c>
    </row>
    <row r="15" spans="1:14" s="2" customFormat="1" x14ac:dyDescent="0.25">
      <c r="A15" s="2" t="s">
        <v>16</v>
      </c>
      <c r="B15" s="1">
        <f>'Raw Data'!B90</f>
        <v>45.99</v>
      </c>
      <c r="C15" s="1">
        <f>'Raw Data'!C90</f>
        <v>57.11</v>
      </c>
      <c r="D15" s="1">
        <f>'Raw Data'!D90</f>
        <v>52.1</v>
      </c>
      <c r="E15" s="1">
        <f>'Raw Data'!E90</f>
        <v>26.96</v>
      </c>
      <c r="F15" s="1">
        <f>'Raw Data'!F90</f>
        <v>81.19</v>
      </c>
      <c r="G15" s="1">
        <f>'Raw Data'!G90</f>
        <v>130.72</v>
      </c>
      <c r="H15" s="1">
        <f>'Raw Data'!H90</f>
        <v>104.5</v>
      </c>
      <c r="I15" s="1">
        <f>'Raw Data'!I90</f>
        <v>155.85</v>
      </c>
      <c r="J15" s="1">
        <f>'Raw Data'!J90</f>
        <v>154.24</v>
      </c>
      <c r="K15" s="1">
        <f>'Raw Data'!K90</f>
        <v>191.86</v>
      </c>
      <c r="L15" s="1">
        <f>'Raw Data'!B8</f>
        <v>175</v>
      </c>
      <c r="M15" s="8">
        <f>M13*M14</f>
        <v>305.30449267150391</v>
      </c>
      <c r="N15" s="9">
        <f>N13*N14</f>
        <v>72.582561212013175</v>
      </c>
    </row>
    <row r="17" spans="1:14" s="2" customFormat="1" x14ac:dyDescent="0.25">
      <c r="A17" s="2" t="s">
        <v>17</v>
      </c>
    </row>
    <row r="18" spans="1:14" x14ac:dyDescent="0.25">
      <c r="A18" t="s">
        <v>18</v>
      </c>
      <c r="B18" s="5">
        <f>IF('Raw Data'!B30&gt;0, 'Raw Data'!B31/'Raw Data'!B30, 0)</f>
        <v>0</v>
      </c>
      <c r="C18" s="5">
        <f>IF('Raw Data'!C30&gt;0, 'Raw Data'!C31/'Raw Data'!C30, 0)</f>
        <v>8.5225686729446137E-2</v>
      </c>
      <c r="D18" s="5">
        <f>IF('Raw Data'!D30&gt;0, 'Raw Data'!D31/'Raw Data'!D30, 0)</f>
        <v>0.14566176664875768</v>
      </c>
      <c r="E18" s="5">
        <f>IF('Raw Data'!E30&gt;0, 'Raw Data'!E31/'Raw Data'!E30, 0)</f>
        <v>0.73557377259819856</v>
      </c>
      <c r="F18" s="5">
        <f>IF('Raw Data'!F30&gt;0, 'Raw Data'!F31/'Raw Data'!F30, 0)</f>
        <v>0.39972390664092644</v>
      </c>
      <c r="G18" s="5">
        <f>IF('Raw Data'!G30&gt;0, 'Raw Data'!G31/'Raw Data'!G30, 0)</f>
        <v>0.15510735810915643</v>
      </c>
      <c r="H18" s="5">
        <f>IF('Raw Data'!H30&gt;0, 'Raw Data'!H31/'Raw Data'!H30, 0)</f>
        <v>0.50185607963106715</v>
      </c>
      <c r="I18" s="5">
        <f>IF('Raw Data'!I30&gt;0, 'Raw Data'!I31/'Raw Data'!I30, 0)</f>
        <v>0</v>
      </c>
      <c r="J18" s="5">
        <f>IF('Raw Data'!J30&gt;0, 'Raw Data'!J31/'Raw Data'!J30, 0)</f>
        <v>1.3128977842485476</v>
      </c>
      <c r="K18" s="5">
        <f>IF('Raw Data'!K30&gt;0, 'Raw Data'!K31/'Raw Data'!K30, 0)</f>
        <v>0.46227719992921906</v>
      </c>
    </row>
    <row r="19" spans="1:14" x14ac:dyDescent="0.25">
      <c r="A19" t="s">
        <v>19</v>
      </c>
      <c r="B19" s="5">
        <f t="shared" ref="B19:L19" si="4">IF(B6&gt;0,B6/B4,0)</f>
        <v>0.11704094286506547</v>
      </c>
      <c r="C19" s="5">
        <f t="shared" ref="C19:K19" si="5">IF(C6&gt;0,C6/C4,0)</f>
        <v>0.17390143390128623</v>
      </c>
      <c r="D19" s="5">
        <f t="shared" si="5"/>
        <v>0.18594791531296043</v>
      </c>
      <c r="E19" s="5">
        <f t="shared" si="5"/>
        <v>0.12489971687921288</v>
      </c>
      <c r="F19" s="5">
        <f t="shared" si="5"/>
        <v>0.19494355095368393</v>
      </c>
      <c r="G19" s="5">
        <f t="shared" si="5"/>
        <v>0.26024826203499563</v>
      </c>
      <c r="H19" s="5">
        <f t="shared" si="5"/>
        <v>0.13272982517678367</v>
      </c>
      <c r="I19" s="5">
        <f t="shared" si="5"/>
        <v>9.7080090227907687E-2</v>
      </c>
      <c r="J19" s="5">
        <f t="shared" si="5"/>
        <v>0.11575985834517953</v>
      </c>
      <c r="K19" s="5">
        <f t="shared" si="5"/>
        <v>0.14798160109802735</v>
      </c>
      <c r="L19" s="5">
        <f t="shared" si="4"/>
        <v>0.1509418884048461</v>
      </c>
    </row>
    <row r="20" spans="1:14" x14ac:dyDescent="0.25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25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25">
      <c r="A22" s="11"/>
      <c r="B22" s="12"/>
      <c r="C22" s="12"/>
      <c r="D22" s="12"/>
      <c r="E22" s="12"/>
      <c r="F22" s="12"/>
      <c r="G22" s="12" t="s">
        <v>20</v>
      </c>
      <c r="H22" s="12" t="s">
        <v>21</v>
      </c>
      <c r="I22" s="12" t="s">
        <v>22</v>
      </c>
      <c r="J22" s="12" t="s">
        <v>23</v>
      </c>
      <c r="K22" s="12" t="s">
        <v>24</v>
      </c>
      <c r="L22" s="13" t="s">
        <v>25</v>
      </c>
      <c r="M22" s="13" t="s">
        <v>26</v>
      </c>
      <c r="N22" s="13" t="s">
        <v>27</v>
      </c>
    </row>
    <row r="23" spans="1:14" s="2" customFormat="1" x14ac:dyDescent="0.25">
      <c r="A23"/>
      <c r="B23"/>
      <c r="C23"/>
      <c r="D23"/>
      <c r="E23"/>
      <c r="F23"/>
      <c r="G23" t="s">
        <v>28</v>
      </c>
      <c r="H23" s="5">
        <f>IF(B4=0,"",POWER($K4/B4,1/9)-1)</f>
        <v>8.4030178416981904E-2</v>
      </c>
      <c r="I23" s="5">
        <f>IF(D4=0,"",POWER($K4/D4,1/7)-1)</f>
        <v>5.6818754508975777E-2</v>
      </c>
      <c r="J23" s="5">
        <f>IF(F4=0,"",POWER($K4/F4,1/5)-1)</f>
        <v>8.2080695701207018E-2</v>
      </c>
      <c r="K23" s="5">
        <f>IF(H4=0,"",POWER($K4/H4, 1/3)-1)</f>
        <v>-1.5600829974961705E-2</v>
      </c>
      <c r="L23" s="5">
        <f>IF(ISERROR(MAX(IF(J4=0,"",(K4-J4)/J4),IF(K4=0,"",(L4-K4)/K4))),"",MAX(IF(J4=0,"",(K4-J4)/J4),IF(K4=0,"",(L4-K4)/K4)))</f>
        <v>6.2218696033096682E-2</v>
      </c>
      <c r="M23" s="16">
        <f>MAX(K23:L23)</f>
        <v>6.2218696033096682E-2</v>
      </c>
      <c r="N23" s="16">
        <f>MIN(H23:L23)</f>
        <v>-1.5600829974961705E-2</v>
      </c>
    </row>
    <row r="24" spans="1:14" x14ac:dyDescent="0.25">
      <c r="G24" t="s">
        <v>19</v>
      </c>
      <c r="H24" s="5">
        <f>IF(SUM(B4:$K$4)=0,"",SUMPRODUCT(B19:$K$19,B4:$K$4)/SUM(B4:$K$4))</f>
        <v>0.15595137940607018</v>
      </c>
      <c r="I24" s="5">
        <f>IF(SUM(E4:$K$4)=0,"",SUMPRODUCT(E19:$K$19,E4:$K$4)/SUM(E4:$K$4))</f>
        <v>0.15419374127520913</v>
      </c>
      <c r="J24" s="5">
        <f>IF(SUM(G4:$K$4)=0,"",SUMPRODUCT(G19:$K$19,G4:$K$4)/SUM(G4:$K$4))</f>
        <v>0.15223974870598642</v>
      </c>
      <c r="K24" s="5">
        <f>IF(SUM(I4:$K$4)=0, "", SUMPRODUCT(I19:$K$19,I4:$K$4)/SUM(I4:$K$4))</f>
        <v>0.12046542751587717</v>
      </c>
      <c r="L24" s="5">
        <f>L19</f>
        <v>0.1509418884048461</v>
      </c>
      <c r="M24" s="16">
        <f>MAX(K24:L24)</f>
        <v>0.1509418884048461</v>
      </c>
      <c r="N24" s="16">
        <f>MIN(H24:L24)</f>
        <v>0.12046542751587717</v>
      </c>
    </row>
    <row r="25" spans="1:14" x14ac:dyDescent="0.25">
      <c r="G25" t="s">
        <v>29</v>
      </c>
      <c r="H25" s="6">
        <f>IF(ISERROR(AVERAGEIF(B14:$L14,"&gt;0")),"",AVERAGEIF(B14:$L14,"&gt;0"))</f>
        <v>17.760052062618659</v>
      </c>
      <c r="I25" s="6">
        <f>IF(ISERROR(AVERAGEIF(E14:$L14,"&gt;0")),"",AVERAGEIF(E14:$L14,"&gt;0"))</f>
        <v>21.329733410032208</v>
      </c>
      <c r="J25" s="6">
        <f>IF(ISERROR(AVERAGEIF(G14:$L14,"&gt;0")),"",AVERAGEIF(G14:$L14,"&gt;0"))</f>
        <v>23.365280354331844</v>
      </c>
      <c r="K25" s="6">
        <f>IF(ISERROR(AVERAGEIF(I14:$L14,"&gt;0")),"",AVERAGEIF(I14:$L14,"&gt;0"))</f>
        <v>32.757286184021261</v>
      </c>
      <c r="L25" s="6">
        <f>L14</f>
        <v>19.791096864935014</v>
      </c>
      <c r="M25" s="1">
        <f>MAX(K25:L25)</f>
        <v>32.757286184021261</v>
      </c>
      <c r="N25" s="1">
        <f>MIN(H25:L25)</f>
        <v>17.760052062618659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5546875" defaultRowHeight="15" x14ac:dyDescent="0.25"/>
  <cols>
    <col min="1" max="1" width="20.7109375" customWidth="1"/>
    <col min="2" max="11" width="13.42578125" bestFit="1" customWidth="1"/>
  </cols>
  <sheetData>
    <row r="1" spans="1:11" s="2" customFormat="1" x14ac:dyDescent="0.25">
      <c r="A1" s="2" t="str">
        <f>'Profit &amp; Loss'!A1</f>
        <v>TATA STEEL LTD</v>
      </c>
      <c r="E1" t="str">
        <f>UPDATE</f>
        <v/>
      </c>
      <c r="J1" s="2" t="s">
        <v>0</v>
      </c>
    </row>
    <row r="3" spans="1:11" s="2" customFormat="1" x14ac:dyDescent="0.25">
      <c r="A3" s="11" t="s">
        <v>1</v>
      </c>
      <c r="B3" s="12">
        <f>'Raw Data'!B41</f>
        <v>45382</v>
      </c>
      <c r="C3" s="12">
        <f>'Raw Data'!C41</f>
        <v>45473</v>
      </c>
      <c r="D3" s="12">
        <f>'Raw Data'!D41</f>
        <v>45565</v>
      </c>
      <c r="E3" s="12">
        <f>'Raw Data'!E41</f>
        <v>45657</v>
      </c>
      <c r="F3" s="12">
        <f>'Raw Data'!F41</f>
        <v>45747</v>
      </c>
      <c r="G3" s="12">
        <f>'Raw Data'!G41</f>
        <v>45838</v>
      </c>
      <c r="H3" s="12">
        <f>'Raw Data'!H41</f>
        <v>45930</v>
      </c>
      <c r="I3" s="12">
        <f>'Raw Data'!I41</f>
        <v>46022</v>
      </c>
      <c r="J3" s="12">
        <f>'Raw Data'!J41</f>
        <v>46112</v>
      </c>
      <c r="K3" s="12">
        <f>'Raw Data'!K41</f>
        <v>46203</v>
      </c>
    </row>
    <row r="4" spans="1:11" s="2" customFormat="1" x14ac:dyDescent="0.25">
      <c r="A4" s="2" t="s">
        <v>5</v>
      </c>
      <c r="B4" s="1">
        <f>'Raw Data'!B42</f>
        <v>58687.31</v>
      </c>
      <c r="C4" s="1">
        <f>'Raw Data'!C42</f>
        <v>54771.39</v>
      </c>
      <c r="D4" s="1">
        <f>'Raw Data'!D42</f>
        <v>53904.71</v>
      </c>
      <c r="E4" s="1">
        <f>'Raw Data'!E42</f>
        <v>53648.3</v>
      </c>
      <c r="F4" s="1">
        <f>'Raw Data'!F42</f>
        <v>56218.11</v>
      </c>
      <c r="G4" s="1">
        <f>'Raw Data'!G42</f>
        <v>53178.12</v>
      </c>
      <c r="H4" s="1">
        <f>'Raw Data'!H42</f>
        <v>58689.29</v>
      </c>
      <c r="I4" s="1">
        <f>'Raw Data'!I42</f>
        <v>57002.400000000001</v>
      </c>
      <c r="J4" s="1">
        <f>'Raw Data'!J42</f>
        <v>63270.13</v>
      </c>
      <c r="K4" s="1">
        <f>'Raw Data'!K42</f>
        <v>60794.29</v>
      </c>
    </row>
    <row r="5" spans="1:11" x14ac:dyDescent="0.25">
      <c r="A5" t="s">
        <v>6</v>
      </c>
      <c r="B5" s="6">
        <f>'Raw Data'!B43</f>
        <v>52086.68</v>
      </c>
      <c r="C5" s="6">
        <f>'Raw Data'!C43</f>
        <v>48076.92</v>
      </c>
      <c r="D5" s="6">
        <f>'Raw Data'!D43</f>
        <v>47788.92</v>
      </c>
      <c r="E5" s="6">
        <f>'Raw Data'!E43</f>
        <v>47744.81</v>
      </c>
      <c r="F5" s="6">
        <f>'Raw Data'!F43</f>
        <v>49658.89</v>
      </c>
      <c r="G5" s="6">
        <f>'Raw Data'!G43</f>
        <v>45750.58</v>
      </c>
      <c r="H5" s="6">
        <f>'Raw Data'!H43</f>
        <v>49792.75</v>
      </c>
      <c r="I5" s="6">
        <f>'Raw Data'!I43</f>
        <v>48802.7</v>
      </c>
      <c r="J5" s="6">
        <f>'Raw Data'!J43</f>
        <v>53441.47</v>
      </c>
      <c r="K5" s="6">
        <f>'Raw Data'!K43</f>
        <v>51529.95</v>
      </c>
    </row>
    <row r="6" spans="1:11" s="2" customFormat="1" x14ac:dyDescent="0.25">
      <c r="A6" s="2" t="s">
        <v>7</v>
      </c>
      <c r="B6" s="1">
        <f>'Raw Data'!B50</f>
        <v>6600.63</v>
      </c>
      <c r="C6" s="1">
        <f>'Raw Data'!C50</f>
        <v>6694.47</v>
      </c>
      <c r="D6" s="1">
        <f>'Raw Data'!D50</f>
        <v>6115.79</v>
      </c>
      <c r="E6" s="1">
        <f>'Raw Data'!E50</f>
        <v>5903.49</v>
      </c>
      <c r="F6" s="1">
        <f>'Raw Data'!F50</f>
        <v>6559.22</v>
      </c>
      <c r="G6" s="1">
        <f>'Raw Data'!G50</f>
        <v>7427.54</v>
      </c>
      <c r="H6" s="1">
        <f>'Raw Data'!H50</f>
        <v>8896.5400000000009</v>
      </c>
      <c r="I6" s="1">
        <f>'Raw Data'!I50</f>
        <v>8199.7000000000007</v>
      </c>
      <c r="J6" s="1">
        <f>'Raw Data'!J50</f>
        <v>9828.66</v>
      </c>
      <c r="K6" s="1">
        <f>'Raw Data'!K50</f>
        <v>9264.34</v>
      </c>
    </row>
    <row r="7" spans="1:11" x14ac:dyDescent="0.25">
      <c r="A7" t="s">
        <v>8</v>
      </c>
      <c r="B7" s="6">
        <f>'Raw Data'!B44</f>
        <v>-381.56</v>
      </c>
      <c r="C7" s="6">
        <f>'Raw Data'!C44</f>
        <v>-5.51</v>
      </c>
      <c r="D7" s="6">
        <f>'Raw Data'!D44</f>
        <v>616.67999999999995</v>
      </c>
      <c r="E7" s="6">
        <f>'Raw Data'!E44</f>
        <v>141.82</v>
      </c>
      <c r="F7" s="6">
        <f>'Raw Data'!F44</f>
        <v>149.19</v>
      </c>
      <c r="G7" s="6">
        <f>'Raw Data'!G44</f>
        <v>236.27</v>
      </c>
      <c r="H7" s="6">
        <f>'Raw Data'!H44</f>
        <v>-6.11</v>
      </c>
      <c r="I7" s="6">
        <f>'Raw Data'!I44</f>
        <v>465.17</v>
      </c>
      <c r="J7" s="6">
        <f>'Raw Data'!J44</f>
        <v>42.49</v>
      </c>
      <c r="K7" s="6">
        <f>'Raw Data'!K44</f>
        <v>-16.649999999999999</v>
      </c>
    </row>
    <row r="8" spans="1:11" x14ac:dyDescent="0.25">
      <c r="A8" t="s">
        <v>9</v>
      </c>
      <c r="B8" s="6">
        <f>'Raw Data'!B45</f>
        <v>2567.9499999999998</v>
      </c>
      <c r="C8" s="6">
        <f>'Raw Data'!C45</f>
        <v>2535.4299999999998</v>
      </c>
      <c r="D8" s="6">
        <f>'Raw Data'!D45</f>
        <v>2596.7399999999998</v>
      </c>
      <c r="E8" s="6">
        <f>'Raw Data'!E45</f>
        <v>2569.19</v>
      </c>
      <c r="F8" s="6">
        <f>'Raw Data'!F45</f>
        <v>2719.97</v>
      </c>
      <c r="G8" s="6">
        <f>'Raw Data'!G45</f>
        <v>2744.3</v>
      </c>
      <c r="H8" s="6">
        <f>'Raw Data'!H45</f>
        <v>2893</v>
      </c>
      <c r="I8" s="6">
        <f>'Raw Data'!I45</f>
        <v>3048.81</v>
      </c>
      <c r="J8" s="6">
        <f>'Raw Data'!J45</f>
        <v>3268.4</v>
      </c>
      <c r="K8" s="6">
        <f>'Raw Data'!K45</f>
        <v>3639.65</v>
      </c>
    </row>
    <row r="9" spans="1:11" x14ac:dyDescent="0.25">
      <c r="A9" t="s">
        <v>10</v>
      </c>
      <c r="B9" s="6">
        <f>'Raw Data'!B46</f>
        <v>1842.25</v>
      </c>
      <c r="C9" s="6">
        <f>'Raw Data'!C46</f>
        <v>1776.71</v>
      </c>
      <c r="D9" s="6">
        <f>'Raw Data'!D46</f>
        <v>1971.4</v>
      </c>
      <c r="E9" s="6">
        <f>'Raw Data'!E46</f>
        <v>1804.09</v>
      </c>
      <c r="F9" s="6">
        <f>'Raw Data'!F46</f>
        <v>1788.75</v>
      </c>
      <c r="G9" s="6">
        <f>'Raw Data'!G46</f>
        <v>1852.43</v>
      </c>
      <c r="H9" s="6">
        <f>'Raw Data'!H46</f>
        <v>1774.96</v>
      </c>
      <c r="I9" s="6">
        <f>'Raw Data'!I46</f>
        <v>1747.29</v>
      </c>
      <c r="J9" s="6">
        <f>'Raw Data'!J46</f>
        <v>1792.38</v>
      </c>
      <c r="K9" s="6">
        <f>'Raw Data'!K46</f>
        <v>1770.51</v>
      </c>
    </row>
    <row r="10" spans="1:11" x14ac:dyDescent="0.25">
      <c r="A10" t="s">
        <v>11</v>
      </c>
      <c r="B10" s="6">
        <f>'Raw Data'!B47</f>
        <v>1808.87</v>
      </c>
      <c r="C10" s="6">
        <f>'Raw Data'!C47</f>
        <v>2376.8200000000002</v>
      </c>
      <c r="D10" s="6">
        <f>'Raw Data'!D47</f>
        <v>2164.33</v>
      </c>
      <c r="E10" s="6">
        <f>'Raw Data'!E47</f>
        <v>1672.03</v>
      </c>
      <c r="F10" s="6">
        <f>'Raw Data'!F47</f>
        <v>2199.69</v>
      </c>
      <c r="G10" s="6">
        <f>'Raw Data'!G47</f>
        <v>3067.08</v>
      </c>
      <c r="H10" s="6">
        <f>'Raw Data'!H47</f>
        <v>4222.47</v>
      </c>
      <c r="I10" s="6">
        <f>'Raw Data'!I47</f>
        <v>3868.77</v>
      </c>
      <c r="J10" s="6">
        <f>'Raw Data'!J47</f>
        <v>4810.37</v>
      </c>
      <c r="K10" s="6">
        <f>'Raw Data'!K47</f>
        <v>3837.53</v>
      </c>
    </row>
    <row r="11" spans="1:11" x14ac:dyDescent="0.25">
      <c r="A11" t="s">
        <v>12</v>
      </c>
      <c r="B11" s="6">
        <f>'Raw Data'!B48</f>
        <v>1254.31</v>
      </c>
      <c r="C11" s="6">
        <f>'Raw Data'!C48</f>
        <v>1458.25</v>
      </c>
      <c r="D11" s="6">
        <f>'Raw Data'!D48</f>
        <v>1405.49</v>
      </c>
      <c r="E11" s="6">
        <f>'Raw Data'!E48</f>
        <v>1376.54</v>
      </c>
      <c r="F11" s="6">
        <f>'Raw Data'!F48</f>
        <v>998.81</v>
      </c>
      <c r="G11" s="6">
        <f>'Raw Data'!G48</f>
        <v>1059.72</v>
      </c>
      <c r="H11" s="6">
        <f>'Raw Data'!H48</f>
        <v>1039.3800000000001</v>
      </c>
      <c r="I11" s="6">
        <f>'Raw Data'!I48</f>
        <v>1138.4000000000001</v>
      </c>
      <c r="J11" s="6">
        <f>'Raw Data'!J48</f>
        <v>1845.37</v>
      </c>
      <c r="K11" s="6">
        <f>'Raw Data'!K48</f>
        <v>1452.29</v>
      </c>
    </row>
    <row r="12" spans="1:11" s="2" customFormat="1" x14ac:dyDescent="0.25">
      <c r="A12" s="2" t="s">
        <v>13</v>
      </c>
      <c r="B12" s="1">
        <f>'Raw Data'!B49</f>
        <v>611.48</v>
      </c>
      <c r="C12" s="1">
        <f>'Raw Data'!C49</f>
        <v>959.61</v>
      </c>
      <c r="D12" s="1">
        <f>'Raw Data'!D49</f>
        <v>833.45</v>
      </c>
      <c r="E12" s="1">
        <f>'Raw Data'!E49</f>
        <v>326.64</v>
      </c>
      <c r="F12" s="1">
        <f>'Raw Data'!F49</f>
        <v>1300.81</v>
      </c>
      <c r="G12" s="1">
        <f>'Raw Data'!G49</f>
        <v>2077.6799999999998</v>
      </c>
      <c r="H12" s="1">
        <f>'Raw Data'!H49</f>
        <v>3101.75</v>
      </c>
      <c r="I12" s="1">
        <f>'Raw Data'!I49</f>
        <v>2688.7</v>
      </c>
      <c r="J12" s="1">
        <f>'Raw Data'!J49</f>
        <v>2925.74</v>
      </c>
      <c r="K12" s="1">
        <f>'Raw Data'!K49</f>
        <v>2318.35</v>
      </c>
    </row>
    <row r="14" spans="1:11" s="2" customFormat="1" x14ac:dyDescent="0.25">
      <c r="A14" s="2" t="s">
        <v>19</v>
      </c>
      <c r="B14" s="10">
        <f>IF(B4&gt;0,B6/B4,"")</f>
        <v>0.11247116284593722</v>
      </c>
      <c r="C14" s="10">
        <f t="shared" ref="C14:K14" si="0">IF(C4&gt;0,C6/C4,"")</f>
        <v>0.12222567292887765</v>
      </c>
      <c r="D14" s="10">
        <f t="shared" si="0"/>
        <v>0.11345557744397475</v>
      </c>
      <c r="E14" s="10">
        <f t="shared" si="0"/>
        <v>0.11004057910502289</v>
      </c>
      <c r="F14" s="10">
        <f t="shared" si="0"/>
        <v>0.11667450222001416</v>
      </c>
      <c r="G14" s="10">
        <f t="shared" si="0"/>
        <v>0.13967285793480474</v>
      </c>
      <c r="H14" s="10">
        <f t="shared" si="0"/>
        <v>0.15158711240159833</v>
      </c>
      <c r="I14" s="10">
        <f t="shared" si="0"/>
        <v>0.14384832919315679</v>
      </c>
      <c r="J14" s="10">
        <f t="shared" si="0"/>
        <v>0.1553443939501942</v>
      </c>
      <c r="K14" s="10">
        <f t="shared" si="0"/>
        <v>0.15238832462719773</v>
      </c>
    </row>
    <row r="22" s="23" customFormat="1" x14ac:dyDescent="0.25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125" workbookViewId="0">
      <pane xSplit="1" ySplit="3" topLeftCell="F7" activePane="bottomRight" state="frozen"/>
      <selection pane="topRight" activeCell="C4" sqref="C4"/>
      <selection pane="bottomLeft" activeCell="C4" sqref="C4"/>
      <selection pane="bottomRight" activeCell="K24" sqref="K24"/>
    </sheetView>
  </sheetViews>
  <sheetFormatPr defaultColWidth="8.85546875" defaultRowHeight="15" x14ac:dyDescent="0.25"/>
  <cols>
    <col min="1" max="1" width="22.85546875" bestFit="1" customWidth="1"/>
    <col min="2" max="2" width="13.42578125" customWidth="1"/>
    <col min="3" max="11" width="15.42578125" customWidth="1"/>
  </cols>
  <sheetData>
    <row r="1" spans="1:11" s="2" customFormat="1" x14ac:dyDescent="0.25">
      <c r="A1" s="2" t="str">
        <f>'Profit &amp; Loss'!A1</f>
        <v>TATA STEEL LTD</v>
      </c>
      <c r="E1" t="str">
        <f>UPDATE</f>
        <v/>
      </c>
      <c r="G1"/>
      <c r="J1" s="2" t="s">
        <v>0</v>
      </c>
    </row>
    <row r="2" spans="1:11" x14ac:dyDescent="0.25">
      <c r="G2" s="2"/>
      <c r="H2" s="2"/>
    </row>
    <row r="3" spans="1:11" x14ac:dyDescent="0.25">
      <c r="A3" s="11" t="s">
        <v>1</v>
      </c>
      <c r="B3" s="12">
        <f>'Raw Data'!B56</f>
        <v>42825</v>
      </c>
      <c r="C3" s="12">
        <f>'Raw Data'!C56</f>
        <v>43190</v>
      </c>
      <c r="D3" s="12">
        <f>'Raw Data'!D56</f>
        <v>43555</v>
      </c>
      <c r="E3" s="12">
        <f>'Raw Data'!E56</f>
        <v>43921</v>
      </c>
      <c r="F3" s="12">
        <f>'Raw Data'!F56</f>
        <v>44286</v>
      </c>
      <c r="G3" s="12">
        <f>'Raw Data'!G56</f>
        <v>44651</v>
      </c>
      <c r="H3" s="12">
        <f>'Raw Data'!H56</f>
        <v>45016</v>
      </c>
      <c r="I3" s="12">
        <f>'Raw Data'!I56</f>
        <v>45382</v>
      </c>
      <c r="J3" s="12">
        <f>'Raw Data'!J56</f>
        <v>45747</v>
      </c>
      <c r="K3" s="12">
        <f>'Raw Data'!K56</f>
        <v>46112</v>
      </c>
    </row>
    <row r="4" spans="1:11" x14ac:dyDescent="0.25">
      <c r="A4" t="s">
        <v>30</v>
      </c>
      <c r="B4" s="14">
        <f>'Raw Data'!B57</f>
        <v>970.24</v>
      </c>
      <c r="C4" s="14">
        <f>'Raw Data'!C57</f>
        <v>1144.95</v>
      </c>
      <c r="D4" s="14">
        <f>'Raw Data'!D57</f>
        <v>1144.94</v>
      </c>
      <c r="E4" s="14">
        <f>'Raw Data'!E57</f>
        <v>1144.95</v>
      </c>
      <c r="F4" s="14">
        <f>'Raw Data'!F57</f>
        <v>1197.6099999999999</v>
      </c>
      <c r="G4" s="14">
        <f>'Raw Data'!G57</f>
        <v>1221.21</v>
      </c>
      <c r="H4" s="14">
        <f>'Raw Data'!H57</f>
        <v>1221.24</v>
      </c>
      <c r="I4" s="14">
        <f>'Raw Data'!I57</f>
        <v>1247.44</v>
      </c>
      <c r="J4" s="14">
        <f>'Raw Data'!J57</f>
        <v>1247.44</v>
      </c>
      <c r="K4" s="14">
        <f>'Raw Data'!K57</f>
        <v>1247.44</v>
      </c>
    </row>
    <row r="5" spans="1:11" x14ac:dyDescent="0.25">
      <c r="A5" t="s">
        <v>31</v>
      </c>
      <c r="B5" s="14">
        <f>'Raw Data'!B58</f>
        <v>36849.08</v>
      </c>
      <c r="C5" s="14">
        <f>'Raw Data'!C58</f>
        <v>59725.67</v>
      </c>
      <c r="D5" s="14">
        <f>'Raw Data'!D58</f>
        <v>67780.14</v>
      </c>
      <c r="E5" s="14">
        <f>'Raw Data'!E58</f>
        <v>72431.350000000006</v>
      </c>
      <c r="F5" s="14">
        <f>'Raw Data'!F58</f>
        <v>73041.16</v>
      </c>
      <c r="G5" s="14">
        <f>'Raw Data'!G58</f>
        <v>113221.83</v>
      </c>
      <c r="H5" s="14">
        <f>'Raw Data'!H58</f>
        <v>101860.86</v>
      </c>
      <c r="I5" s="14">
        <f>'Raw Data'!I58</f>
        <v>90788.32</v>
      </c>
      <c r="J5" s="14">
        <f>'Raw Data'!J58</f>
        <v>89922.19</v>
      </c>
      <c r="K5" s="14">
        <f>'Raw Data'!K58</f>
        <v>100920.21</v>
      </c>
    </row>
    <row r="6" spans="1:11" x14ac:dyDescent="0.25">
      <c r="A6" t="s">
        <v>32</v>
      </c>
      <c r="B6" s="14">
        <f>'Raw Data'!B59</f>
        <v>83014.490000000005</v>
      </c>
      <c r="C6" s="14">
        <f>'Raw Data'!C59</f>
        <v>92147.05</v>
      </c>
      <c r="D6" s="14">
        <f>'Raw Data'!D59</f>
        <v>100816.22</v>
      </c>
      <c r="E6" s="14">
        <f>'Raw Data'!E59</f>
        <v>116328.2</v>
      </c>
      <c r="F6" s="14">
        <f>'Raw Data'!F59</f>
        <v>88501.41</v>
      </c>
      <c r="G6" s="14">
        <f>'Raw Data'!G59</f>
        <v>75561.350000000006</v>
      </c>
      <c r="H6" s="14">
        <f>'Raw Data'!H59</f>
        <v>84893.05</v>
      </c>
      <c r="I6" s="14">
        <f>'Raw Data'!I59</f>
        <v>87082.12</v>
      </c>
      <c r="J6" s="14">
        <f>'Raw Data'!J59</f>
        <v>94801.05</v>
      </c>
      <c r="K6" s="14">
        <f>'Raw Data'!K59</f>
        <v>92381.68</v>
      </c>
    </row>
    <row r="7" spans="1:11" x14ac:dyDescent="0.25">
      <c r="A7" t="s">
        <v>33</v>
      </c>
      <c r="B7" s="14">
        <f>'Raw Data'!B60</f>
        <v>51613.56</v>
      </c>
      <c r="C7" s="14">
        <f>'Raw Data'!C60</f>
        <v>55704.47</v>
      </c>
      <c r="D7" s="14">
        <f>'Raw Data'!D60</f>
        <v>63032.14</v>
      </c>
      <c r="E7" s="14">
        <f>'Raw Data'!E60</f>
        <v>59244.62</v>
      </c>
      <c r="F7" s="14">
        <f>'Raw Data'!F60</f>
        <v>81169.009999999995</v>
      </c>
      <c r="G7" s="14">
        <f>'Raw Data'!G60</f>
        <v>92417.279999999999</v>
      </c>
      <c r="H7" s="14">
        <f>'Raw Data'!H60</f>
        <v>97420.63</v>
      </c>
      <c r="I7" s="14">
        <f>'Raw Data'!I60</f>
        <v>90194.54</v>
      </c>
      <c r="J7" s="14">
        <f>'Raw Data'!J60</f>
        <v>89487.9</v>
      </c>
      <c r="K7" s="14">
        <f>'Raw Data'!K60</f>
        <v>101965.29</v>
      </c>
    </row>
    <row r="8" spans="1:11" s="2" customFormat="1" x14ac:dyDescent="0.25">
      <c r="A8" s="2" t="s">
        <v>34</v>
      </c>
      <c r="B8" s="15">
        <f>'Raw Data'!B61</f>
        <v>172447.37</v>
      </c>
      <c r="C8" s="15">
        <f>'Raw Data'!C61</f>
        <v>208722.14</v>
      </c>
      <c r="D8" s="15">
        <f>'Raw Data'!D61</f>
        <v>232773.44</v>
      </c>
      <c r="E8" s="15">
        <f>'Raw Data'!E61</f>
        <v>249149.12</v>
      </c>
      <c r="F8" s="15">
        <f>'Raw Data'!F61</f>
        <v>243909.19</v>
      </c>
      <c r="G8" s="15">
        <f>'Raw Data'!G61</f>
        <v>282421.67</v>
      </c>
      <c r="H8" s="15">
        <f>'Raw Data'!H61</f>
        <v>285395.78000000003</v>
      </c>
      <c r="I8" s="15">
        <f>'Raw Data'!I61</f>
        <v>269312.42</v>
      </c>
      <c r="J8" s="15">
        <f>'Raw Data'!J61</f>
        <v>275458.58</v>
      </c>
      <c r="K8" s="15">
        <f>'Raw Data'!K61</f>
        <v>296514.62</v>
      </c>
    </row>
    <row r="9" spans="1:11" s="2" customFormat="1" x14ac:dyDescent="0.25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25">
      <c r="A10" t="s">
        <v>35</v>
      </c>
      <c r="B10" s="14">
        <f>'Raw Data'!B62</f>
        <v>92006.55</v>
      </c>
      <c r="C10" s="14">
        <f>'Raw Data'!C62</f>
        <v>96104.89</v>
      </c>
      <c r="D10" s="14">
        <f>'Raw Data'!D62</f>
        <v>124441.91</v>
      </c>
      <c r="E10" s="14">
        <f>'Raw Data'!E62</f>
        <v>134550.66</v>
      </c>
      <c r="F10" s="14">
        <f>'Raw Data'!F62</f>
        <v>135775.18</v>
      </c>
      <c r="G10" s="14">
        <f>'Raw Data'!G62</f>
        <v>133287.82999999999</v>
      </c>
      <c r="H10" s="14">
        <f>'Raw Data'!H62</f>
        <v>146621.46</v>
      </c>
      <c r="I10" s="14">
        <f>'Raw Data'!I62</f>
        <v>148814.38</v>
      </c>
      <c r="J10" s="14">
        <f>'Raw Data'!J62</f>
        <v>150914.06</v>
      </c>
      <c r="K10" s="14">
        <f>'Raw Data'!K62</f>
        <v>179908.13</v>
      </c>
    </row>
    <row r="11" spans="1:11" x14ac:dyDescent="0.25">
      <c r="A11" t="s">
        <v>36</v>
      </c>
      <c r="B11" s="14">
        <f>'Raw Data'!B63</f>
        <v>15784.13</v>
      </c>
      <c r="C11" s="14">
        <f>'Raw Data'!C63</f>
        <v>16614.41</v>
      </c>
      <c r="D11" s="14">
        <f>'Raw Data'!D63</f>
        <v>18641.21</v>
      </c>
      <c r="E11" s="14">
        <f>'Raw Data'!E63</f>
        <v>19496.830000000002</v>
      </c>
      <c r="F11" s="14">
        <f>'Raw Data'!F63</f>
        <v>19007.400000000001</v>
      </c>
      <c r="G11" s="14">
        <f>'Raw Data'!G63</f>
        <v>22045.55</v>
      </c>
      <c r="H11" s="14">
        <f>'Raw Data'!H63</f>
        <v>31213.02</v>
      </c>
      <c r="I11" s="14">
        <f>'Raw Data'!I63</f>
        <v>34355.53</v>
      </c>
      <c r="J11" s="14">
        <f>'Raw Data'!J63</f>
        <v>41622.35</v>
      </c>
      <c r="K11" s="14">
        <f>'Raw Data'!K63</f>
        <v>28496.71</v>
      </c>
    </row>
    <row r="12" spans="1:11" x14ac:dyDescent="0.25">
      <c r="A12" t="s">
        <v>37</v>
      </c>
      <c r="B12" s="14">
        <f>'Raw Data'!B64</f>
        <v>12457.12</v>
      </c>
      <c r="C12" s="14">
        <f>'Raw Data'!C64</f>
        <v>17899.47</v>
      </c>
      <c r="D12" s="14">
        <f>'Raw Data'!D64</f>
        <v>5738.17</v>
      </c>
      <c r="E12" s="14">
        <f>'Raw Data'!E64</f>
        <v>6285.18</v>
      </c>
      <c r="F12" s="14">
        <f>'Raw Data'!F64</f>
        <v>10681.93</v>
      </c>
      <c r="G12" s="14">
        <f>'Raw Data'!G64</f>
        <v>13139.85</v>
      </c>
      <c r="H12" s="14">
        <f>'Raw Data'!H64</f>
        <v>8410.31</v>
      </c>
      <c r="I12" s="14">
        <f>'Raw Data'!I64</f>
        <v>6257.57</v>
      </c>
      <c r="J12" s="14">
        <f>'Raw Data'!J64</f>
        <v>6194.11</v>
      </c>
      <c r="K12" s="14">
        <f>'Raw Data'!K64</f>
        <v>7088.85</v>
      </c>
    </row>
    <row r="13" spans="1:11" x14ac:dyDescent="0.25">
      <c r="A13" t="s">
        <v>38</v>
      </c>
      <c r="B13" s="14">
        <f>'Raw Data'!B65</f>
        <v>52199.57</v>
      </c>
      <c r="C13" s="14">
        <f>'Raw Data'!C65</f>
        <v>78103.37</v>
      </c>
      <c r="D13" s="14">
        <f>'Raw Data'!D65</f>
        <v>83952.15</v>
      </c>
      <c r="E13" s="14">
        <f>'Raw Data'!E65</f>
        <v>88816.45</v>
      </c>
      <c r="F13" s="14">
        <f>'Raw Data'!F65</f>
        <v>78444.679999999993</v>
      </c>
      <c r="G13" s="14">
        <f>'Raw Data'!G65</f>
        <v>113948.44</v>
      </c>
      <c r="H13" s="14">
        <f>'Raw Data'!H65</f>
        <v>99150.99</v>
      </c>
      <c r="I13" s="14">
        <f>'Raw Data'!I65</f>
        <v>79884.94</v>
      </c>
      <c r="J13" s="14">
        <f>'Raw Data'!J65</f>
        <v>76728.06</v>
      </c>
      <c r="K13" s="14">
        <f>'Raw Data'!K65</f>
        <v>81020.929999999993</v>
      </c>
    </row>
    <row r="14" spans="1:11" s="2" customFormat="1" x14ac:dyDescent="0.25">
      <c r="A14" s="2" t="s">
        <v>34</v>
      </c>
      <c r="B14" s="14">
        <f>'Raw Data'!B66</f>
        <v>172447.37</v>
      </c>
      <c r="C14" s="14">
        <f>'Raw Data'!C66</f>
        <v>208722.14</v>
      </c>
      <c r="D14" s="14">
        <f>'Raw Data'!D66</f>
        <v>232773.44</v>
      </c>
      <c r="E14" s="14">
        <f>'Raw Data'!E66</f>
        <v>249149.12</v>
      </c>
      <c r="F14" s="14">
        <f>'Raw Data'!F66</f>
        <v>243909.19</v>
      </c>
      <c r="G14" s="14">
        <f>'Raw Data'!G66</f>
        <v>282421.67</v>
      </c>
      <c r="H14" s="14">
        <f>'Raw Data'!H66</f>
        <v>285395.78000000003</v>
      </c>
      <c r="I14" s="14">
        <f>'Raw Data'!I66</f>
        <v>269312.42</v>
      </c>
      <c r="J14" s="14">
        <f>'Raw Data'!J66</f>
        <v>275458.58</v>
      </c>
      <c r="K14" s="14">
        <f>'Raw Data'!K66</f>
        <v>296514.62</v>
      </c>
    </row>
    <row r="15" spans="1:1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25">
      <c r="A16" t="s">
        <v>39</v>
      </c>
      <c r="B16" s="4">
        <f>B13-B7</f>
        <v>586.01000000000204</v>
      </c>
      <c r="C16" s="4">
        <f t="shared" ref="C16:K16" si="0">C13-C7</f>
        <v>22398.899999999994</v>
      </c>
      <c r="D16" s="4">
        <f t="shared" si="0"/>
        <v>20920.009999999995</v>
      </c>
      <c r="E16" s="4">
        <f t="shared" si="0"/>
        <v>29571.829999999994</v>
      </c>
      <c r="F16" s="4">
        <f t="shared" si="0"/>
        <v>-2724.3300000000017</v>
      </c>
      <c r="G16" s="4">
        <f t="shared" si="0"/>
        <v>21531.160000000003</v>
      </c>
      <c r="H16" s="4">
        <f t="shared" si="0"/>
        <v>1730.3600000000006</v>
      </c>
      <c r="I16" s="4">
        <f t="shared" si="0"/>
        <v>-10309.599999999991</v>
      </c>
      <c r="J16" s="4">
        <f t="shared" si="0"/>
        <v>-12759.839999999997</v>
      </c>
      <c r="K16" s="4">
        <f t="shared" si="0"/>
        <v>-20944.36</v>
      </c>
    </row>
    <row r="17" spans="1:11" x14ac:dyDescent="0.25">
      <c r="A17" t="s">
        <v>40</v>
      </c>
      <c r="B17" s="4">
        <f>'Raw Data'!B67</f>
        <v>11586.82</v>
      </c>
      <c r="C17" s="4">
        <f>'Raw Data'!C67</f>
        <v>12415.52</v>
      </c>
      <c r="D17" s="4">
        <f>'Raw Data'!D67</f>
        <v>11811</v>
      </c>
      <c r="E17" s="4">
        <f>'Raw Data'!E67</f>
        <v>7884.91</v>
      </c>
      <c r="F17" s="4">
        <f>'Raw Data'!F67</f>
        <v>9539.84</v>
      </c>
      <c r="G17" s="4">
        <f>'Raw Data'!G67</f>
        <v>12246.43</v>
      </c>
      <c r="H17" s="4">
        <f>'Raw Data'!H67</f>
        <v>8257.24</v>
      </c>
      <c r="I17" s="4">
        <f>'Raw Data'!I67</f>
        <v>6263.53</v>
      </c>
      <c r="J17" s="4">
        <f>'Raw Data'!J67</f>
        <v>5260.06</v>
      </c>
      <c r="K17" s="4">
        <f>'Raw Data'!K67</f>
        <v>4916.8900000000003</v>
      </c>
    </row>
    <row r="18" spans="1:11" x14ac:dyDescent="0.25">
      <c r="A18" t="s">
        <v>41</v>
      </c>
      <c r="B18" s="4">
        <f>'Raw Data'!B68</f>
        <v>24803.82</v>
      </c>
      <c r="C18" s="4">
        <f>'Raw Data'!C68</f>
        <v>28331.040000000001</v>
      </c>
      <c r="D18" s="4">
        <f>'Raw Data'!D68</f>
        <v>31656.1</v>
      </c>
      <c r="E18" s="4">
        <f>'Raw Data'!E68</f>
        <v>31068.720000000001</v>
      </c>
      <c r="F18" s="4">
        <f>'Raw Data'!F68</f>
        <v>33276.379999999997</v>
      </c>
      <c r="G18" s="4">
        <f>'Raw Data'!G68</f>
        <v>48824.39</v>
      </c>
      <c r="H18" s="4">
        <f>'Raw Data'!H68</f>
        <v>54415.33</v>
      </c>
      <c r="I18" s="4">
        <f>'Raw Data'!I68</f>
        <v>49157.51</v>
      </c>
      <c r="J18" s="4">
        <f>'Raw Data'!J68</f>
        <v>44589.94</v>
      </c>
      <c r="K18" s="4">
        <f>'Raw Data'!K68</f>
        <v>47249.22</v>
      </c>
    </row>
    <row r="20" spans="1:11" x14ac:dyDescent="0.25">
      <c r="A20" t="s">
        <v>42</v>
      </c>
      <c r="B20" s="4">
        <f>IF('Profit &amp; Loss'!B4&gt;0,'Balance Sheet'!B17/('Profit &amp; Loss'!B4/365),0)</f>
        <v>37.659938938242064</v>
      </c>
      <c r="C20" s="4">
        <f>IF('Profit &amp; Loss'!C4&gt;0,'Balance Sheet'!C17/('Profit &amp; Loss'!C4/365),0)</f>
        <v>36.76834884027928</v>
      </c>
      <c r="D20" s="4">
        <f>IF('Profit &amp; Loss'!D4&gt;0,'Balance Sheet'!D17/('Profit &amp; Loss'!D4/365),0)</f>
        <v>27.342186944940792</v>
      </c>
      <c r="E20" s="4">
        <f>IF('Profit &amp; Loss'!E4&gt;0,'Balance Sheet'!E17/('Profit &amp; Loss'!E4/365),0)</f>
        <v>20.584044532607525</v>
      </c>
      <c r="F20" s="4">
        <f>IF('Profit &amp; Loss'!F4&gt;0,'Balance Sheet'!F17/('Profit &amp; Loss'!F4/365),0)</f>
        <v>22.252680578792848</v>
      </c>
      <c r="G20" s="4">
        <f>IF('Profit &amp; Loss'!G4&gt;0,'Balance Sheet'!G17/('Profit &amp; Loss'!G4/365),0)</f>
        <v>18.32252073164538</v>
      </c>
      <c r="H20" s="4">
        <f>IF('Profit &amp; Loss'!H4&gt;0,'Balance Sheet'!H17/('Profit &amp; Loss'!H4/365),0)</f>
        <v>12.384874808657344</v>
      </c>
      <c r="I20" s="4">
        <f>IF('Profit &amp; Loss'!I4&gt;0,'Balance Sheet'!I17/('Profit &amp; Loss'!I4/365),0)</f>
        <v>9.9759159959223425</v>
      </c>
      <c r="J20" s="4">
        <f>IF('Profit &amp; Loss'!J4&gt;0,'Balance Sheet'!J17/('Profit &amp; Loss'!J4/365),0)</f>
        <v>8.7851187395989907</v>
      </c>
      <c r="K20" s="4">
        <f>IF('Profit &amp; Loss'!K4&gt;0,'Balance Sheet'!K17/('Profit &amp; Loss'!K4/365),0)</f>
        <v>7.7309611176775528</v>
      </c>
    </row>
    <row r="21" spans="1:11" x14ac:dyDescent="0.25">
      <c r="A21" t="s">
        <v>43</v>
      </c>
      <c r="B21" s="4">
        <f>IF('Balance Sheet'!B18&gt;0,'Profit &amp; Loss'!B4/'Balance Sheet'!B18,0)</f>
        <v>4.527505037530509</v>
      </c>
      <c r="C21" s="4">
        <f>IF('Balance Sheet'!C18&gt;0,'Profit &amp; Loss'!C4/'Balance Sheet'!C18,0)</f>
        <v>4.3503192964324642</v>
      </c>
      <c r="D21" s="4">
        <f>IF('Balance Sheet'!D18&gt;0,'Profit &amp; Loss'!D4/'Balance Sheet'!D18,0)</f>
        <v>4.980682712020748</v>
      </c>
      <c r="E21" s="4">
        <f>IF('Balance Sheet'!E18&gt;0,'Profit &amp; Loss'!E4/'Balance Sheet'!E18,0)</f>
        <v>4.50023850354955</v>
      </c>
      <c r="F21" s="4">
        <f>IF('Balance Sheet'!F18&gt;0,'Profit &amp; Loss'!F4/'Balance Sheet'!F18,0)</f>
        <v>4.7023564462240186</v>
      </c>
      <c r="G21" s="4">
        <f>IF('Balance Sheet'!G18&gt;0,'Profit &amp; Loss'!G4/'Balance Sheet'!G18,0)</f>
        <v>4.9966660105738141</v>
      </c>
      <c r="H21" s="4">
        <f>IF('Balance Sheet'!H18&gt;0,'Profit &amp; Loss'!H4/'Balance Sheet'!H18,0)</f>
        <v>4.4721347826062985</v>
      </c>
      <c r="I21" s="4">
        <f>IF('Balance Sheet'!I18&gt;0,'Profit &amp; Loss'!I4/'Balance Sheet'!I18,0)</f>
        <v>4.6619688426041108</v>
      </c>
      <c r="J21" s="4">
        <f>IF('Balance Sheet'!J18&gt;0,'Profit &amp; Loss'!J4/'Balance Sheet'!J18,0)</f>
        <v>4.9011617867169139</v>
      </c>
      <c r="K21" s="4">
        <f>IF('Balance Sheet'!K18&gt;0,'Profit &amp; Loss'!K4/'Balance Sheet'!K18,0)</f>
        <v>4.9130957082466127</v>
      </c>
    </row>
    <row r="23" spans="1:11" s="2" customFormat="1" x14ac:dyDescent="0.25">
      <c r="A23" s="2" t="s">
        <v>44</v>
      </c>
      <c r="B23" s="10">
        <f>IF(SUM('Balance Sheet'!B4:B5)&gt;0,'Profit &amp; Loss'!B12/SUM('Balance Sheet'!B4:B5),"")</f>
        <v>-0.11213316368459296</v>
      </c>
      <c r="C23" s="10">
        <f>IF(SUM('Balance Sheet'!C4:C5)&gt;0,'Profit &amp; Loss'!C12/SUM('Balance Sheet'!C4:C5),"")</f>
        <v>0.22070302553185758</v>
      </c>
      <c r="D23" s="10">
        <f>IF(SUM('Balance Sheet'!D4:D5)&gt;0,'Profit &amp; Loss'!D12/SUM('Balance Sheet'!D4:D5),"")</f>
        <v>0.14825271149485789</v>
      </c>
      <c r="E23" s="10">
        <f>IF(SUM('Balance Sheet'!E4:E5)&gt;0,'Profit &amp; Loss'!E12/SUM('Balance Sheet'!E4:E5),"")</f>
        <v>2.1155453590354503E-2</v>
      </c>
      <c r="F23" s="10">
        <f>IF(SUM('Balance Sheet'!F4:F5)&gt;0,'Profit &amp; Loss'!F12/SUM('Balance Sheet'!F4:F5),"")</f>
        <v>0.10089364357733836</v>
      </c>
      <c r="G23" s="10">
        <f>IF(SUM('Balance Sheet'!G4:G5)&gt;0,'Profit &amp; Loss'!G12/SUM('Balance Sheet'!G4:G5),"")</f>
        <v>0.35086388827140558</v>
      </c>
      <c r="H23" s="10">
        <f>IF(SUM('Balance Sheet'!H4:H5)&gt;0,'Profit &amp; Loss'!H12/SUM('Balance Sheet'!H4:H5),"")</f>
        <v>8.4984686963109984E-2</v>
      </c>
      <c r="I23" s="10">
        <f>IF(SUM('Balance Sheet'!I4:I5)&gt;0,'Profit &amp; Loss'!I12/SUM('Balance Sheet'!I4:I5),"")</f>
        <v>-4.8214302788394413E-2</v>
      </c>
      <c r="J23" s="10">
        <f>IF(SUM('Balance Sheet'!J4:J5)&gt;0,'Profit &amp; Loss'!J12/SUM('Balance Sheet'!J4:J5),"")</f>
        <v>3.7518085792385032E-2</v>
      </c>
      <c r="K23" s="10">
        <f>IF(SUM('Balance Sheet'!K4:K5)&gt;0,'Profit &amp; Loss'!K12/SUM('Balance Sheet'!K4:K5),"")</f>
        <v>0.10564860794977667</v>
      </c>
    </row>
    <row r="24" spans="1:11" s="2" customFormat="1" x14ac:dyDescent="0.25">
      <c r="A24" s="2" t="s">
        <v>45</v>
      </c>
      <c r="B24" s="10"/>
      <c r="C24" s="10">
        <f>IF((B4+B5+B6+C4+C5+C6)&gt;0,('Profit &amp; Loss'!C10+'Profit &amp; Loss'!C9)*2/(B4+B5+B6+C4+C5+C6),"")</f>
        <v>0.19419212194872931</v>
      </c>
      <c r="D24" s="10">
        <f>IF((C4+C5+C6+D4+D5+D6)&gt;0,('Profit &amp; Loss'!D10+'Profit &amp; Loss'!D9)*2/(C4+C5+C6+D4+D5+D6),"")</f>
        <v>0.14562383812291879</v>
      </c>
      <c r="E24" s="10">
        <f>IF((D4+D5+D6+E4+E5+E6)&gt;0,('Profit &amp; Loss'!E10+'Profit &amp; Loss'!E9)*2/(D4+D5+D6+E4+E5+E6),"")</f>
        <v>3.4137476372586587E-2</v>
      </c>
      <c r="F24" s="10">
        <f>IF((E4+E5+E6+F4+F5+F6)&gt;0,('Profit &amp; Loss'!F10+'Profit &amp; Loss'!F9)*2/(E4+E5+E6+F4+F5+F6),"")</f>
        <v>0.12165446533887878</v>
      </c>
      <c r="G24" s="10">
        <f>IF((F4+F5+F6+G4+G5+G6)&gt;0,('Profit &amp; Loss'!G10+'Profit &amp; Loss'!G9)*2/(F4+F5+F6+G4+G5+G6),"")</f>
        <v>0.31574728421758558</v>
      </c>
      <c r="H24" s="10">
        <f>IF((G4+G5+G6+H4+H5+H6)&gt;0,('Profit &amp; Loss'!H10+'Profit &amp; Loss'!H9)*2/(G4+G5+G6+H4+H5+H6),"")</f>
        <v>0.12981559795538139</v>
      </c>
      <c r="I24" s="10">
        <f>IF((H4+H5+H6+I4+I5+I6)&gt;0,('Profit &amp; Loss'!I10+'Profit &amp; Loss'!I9)*2/(H4+H5+H6+I4+I5+I6),"")</f>
        <v>3.4653504589831081E-2</v>
      </c>
      <c r="J24" s="10">
        <f>IF((I4+I5+I6+J4+J5+J6)&gt;0,('Profit &amp; Loss'!J10+'Profit &amp; Loss'!J9)*2/(I4+I5+I6+J4+J5+J6),"")</f>
        <v>8.6301362058564632E-2</v>
      </c>
      <c r="K24" s="10">
        <f>IF((J4+J5+J6+K4+K5+K6)&gt;0,('Profit &amp; Loss'!K10+'Profit &amp; Loss'!K9)*2/(J4+J5+J6+K4+K5+K6),"")</f>
        <v>0.12160070110373433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5546875" defaultRowHeight="15" x14ac:dyDescent="0.25"/>
  <cols>
    <col min="1" max="1" width="26.85546875" bestFit="1" customWidth="1"/>
    <col min="2" max="6" width="13.42578125" customWidth="1"/>
    <col min="7" max="11" width="13.42578125" bestFit="1" customWidth="1"/>
  </cols>
  <sheetData>
    <row r="1" spans="1:11" s="2" customFormat="1" x14ac:dyDescent="0.25">
      <c r="A1" s="2" t="str">
        <f>'Balance Sheet'!A1</f>
        <v>TATA STEEL LTD</v>
      </c>
      <c r="E1" t="str">
        <f>UPDATE</f>
        <v/>
      </c>
      <c r="F1"/>
      <c r="J1" s="2" t="s">
        <v>0</v>
      </c>
    </row>
    <row r="3" spans="1:11" s="2" customFormat="1" x14ac:dyDescent="0.25">
      <c r="A3" s="11" t="s">
        <v>1</v>
      </c>
      <c r="B3" s="12">
        <f>'Raw Data'!B81</f>
        <v>42825</v>
      </c>
      <c r="C3" s="12">
        <f>'Raw Data'!C81</f>
        <v>43190</v>
      </c>
      <c r="D3" s="12">
        <f>'Raw Data'!D81</f>
        <v>43555</v>
      </c>
      <c r="E3" s="12">
        <f>'Raw Data'!E81</f>
        <v>43921</v>
      </c>
      <c r="F3" s="12">
        <f>'Raw Data'!F81</f>
        <v>44286</v>
      </c>
      <c r="G3" s="12">
        <f>'Raw Data'!G81</f>
        <v>44651</v>
      </c>
      <c r="H3" s="12">
        <f>'Raw Data'!H81</f>
        <v>45016</v>
      </c>
      <c r="I3" s="12">
        <f>'Raw Data'!I81</f>
        <v>45382</v>
      </c>
      <c r="J3" s="12">
        <f>'Raw Data'!J81</f>
        <v>45747</v>
      </c>
      <c r="K3" s="12">
        <f>'Raw Data'!K81</f>
        <v>46112</v>
      </c>
    </row>
    <row r="4" spans="1:11" s="2" customFormat="1" x14ac:dyDescent="0.25">
      <c r="A4" s="2" t="s">
        <v>46</v>
      </c>
      <c r="B4" s="1">
        <f>'Raw Data'!B82</f>
        <v>10824.36</v>
      </c>
      <c r="C4" s="1">
        <f>'Raw Data'!C82</f>
        <v>8023.39</v>
      </c>
      <c r="D4" s="1">
        <f>'Raw Data'!D82</f>
        <v>25335.95</v>
      </c>
      <c r="E4" s="1">
        <f>'Raw Data'!E82</f>
        <v>20168.72</v>
      </c>
      <c r="F4" s="1">
        <f>'Raw Data'!F82</f>
        <v>44326.68</v>
      </c>
      <c r="G4" s="1">
        <f>'Raw Data'!G82</f>
        <v>44380.99</v>
      </c>
      <c r="H4" s="1">
        <f>'Raw Data'!H82</f>
        <v>21683.08</v>
      </c>
      <c r="I4" s="1">
        <f>'Raw Data'!I82</f>
        <v>20300.669999999998</v>
      </c>
      <c r="J4" s="1">
        <f>'Raw Data'!J82</f>
        <v>23137.58</v>
      </c>
      <c r="K4" s="1">
        <f>'Raw Data'!K82</f>
        <v>35064.46</v>
      </c>
    </row>
    <row r="5" spans="1:11" x14ac:dyDescent="0.25">
      <c r="A5" t="s">
        <v>47</v>
      </c>
      <c r="B5" s="6">
        <f>'Raw Data'!B83</f>
        <v>-9489.65</v>
      </c>
      <c r="C5" s="6">
        <f>'Raw Data'!C83</f>
        <v>-11730.31</v>
      </c>
      <c r="D5" s="6">
        <f>'Raw Data'!D83</f>
        <v>-29176.45</v>
      </c>
      <c r="E5" s="6">
        <f>'Raw Data'!E83</f>
        <v>-14012.06</v>
      </c>
      <c r="F5" s="6">
        <f>'Raw Data'!F83</f>
        <v>-9437.27</v>
      </c>
      <c r="G5" s="6">
        <f>'Raw Data'!G83</f>
        <v>-10905.02</v>
      </c>
      <c r="H5" s="6">
        <f>'Raw Data'!H83</f>
        <v>-18179.45</v>
      </c>
      <c r="I5" s="6">
        <f>'Raw Data'!I83</f>
        <v>-14252.74</v>
      </c>
      <c r="J5" s="6">
        <f>'Raw Data'!J83</f>
        <v>-13611.02</v>
      </c>
      <c r="K5" s="6">
        <f>'Raw Data'!K83</f>
        <v>-14397.35</v>
      </c>
    </row>
    <row r="6" spans="1:11" x14ac:dyDescent="0.25">
      <c r="A6" t="s">
        <v>48</v>
      </c>
      <c r="B6" s="6">
        <f>'Raw Data'!B84</f>
        <v>-2579.36</v>
      </c>
      <c r="C6" s="6">
        <f>'Raw Data'!C84</f>
        <v>6639.94</v>
      </c>
      <c r="D6" s="6">
        <f>'Raw Data'!D84</f>
        <v>-672.7</v>
      </c>
      <c r="E6" s="6">
        <f>'Raw Data'!E84</f>
        <v>-1694.62</v>
      </c>
      <c r="F6" s="6">
        <f>'Raw Data'!F84</f>
        <v>-37089.67</v>
      </c>
      <c r="G6" s="6">
        <f>'Raw Data'!G84</f>
        <v>-23401.09</v>
      </c>
      <c r="H6" s="6">
        <f>'Raw Data'!H84</f>
        <v>-6980.69</v>
      </c>
      <c r="I6" s="6">
        <f>'Raw Data'!I84</f>
        <v>-11096.99</v>
      </c>
      <c r="J6" s="6">
        <f>'Raw Data'!J84</f>
        <v>-7002.44</v>
      </c>
      <c r="K6" s="6">
        <f>'Raw Data'!K84</f>
        <v>-21387.119999999999</v>
      </c>
    </row>
    <row r="7" spans="1:11" s="2" customFormat="1" x14ac:dyDescent="0.25">
      <c r="A7" s="2" t="s">
        <v>49</v>
      </c>
      <c r="B7" s="1">
        <f>'Raw Data'!B85</f>
        <v>-1244.6500000000001</v>
      </c>
      <c r="C7" s="1">
        <f>'Raw Data'!C85</f>
        <v>2933.02</v>
      </c>
      <c r="D7" s="1">
        <f>'Raw Data'!D85</f>
        <v>-4513.2</v>
      </c>
      <c r="E7" s="1">
        <f>'Raw Data'!E85</f>
        <v>4462.04</v>
      </c>
      <c r="F7" s="1">
        <f>'Raw Data'!F85</f>
        <v>-2200.2600000000002</v>
      </c>
      <c r="G7" s="1">
        <f>'Raw Data'!G85</f>
        <v>10074.879999999999</v>
      </c>
      <c r="H7" s="1">
        <f>'Raw Data'!H85</f>
        <v>-3477.06</v>
      </c>
      <c r="I7" s="1">
        <f>'Raw Data'!I85</f>
        <v>-5049.0600000000004</v>
      </c>
      <c r="J7" s="1">
        <f>'Raw Data'!J85</f>
        <v>2524.12</v>
      </c>
      <c r="K7" s="1">
        <f>'Raw Data'!K85</f>
        <v>-720.01</v>
      </c>
    </row>
    <row r="8" spans="1:11" x14ac:dyDescent="0.25">
      <c r="B8" s="6"/>
      <c r="C8" s="6"/>
      <c r="D8" s="6"/>
      <c r="E8" s="6"/>
      <c r="F8" s="6"/>
      <c r="G8" s="6"/>
      <c r="H8" s="6"/>
      <c r="I8" s="6"/>
      <c r="J8" s="6"/>
      <c r="K8" s="6"/>
    </row>
    <row r="24" customFormat="1" x14ac:dyDescent="0.25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85546875" defaultRowHeight="15" x14ac:dyDescent="0.25"/>
  <cols>
    <col min="1" max="1" width="8.85546875" style="2"/>
    <col min="2" max="2" width="10.42578125" customWidth="1"/>
    <col min="3" max="3" width="13.28515625" style="20" customWidth="1"/>
    <col min="6" max="6" width="6.85546875" customWidth="1"/>
  </cols>
  <sheetData>
    <row r="1" spans="1:7" ht="21" x14ac:dyDescent="0.35">
      <c r="A1" s="19" t="s">
        <v>50</v>
      </c>
    </row>
    <row r="3" spans="1:7" x14ac:dyDescent="0.25">
      <c r="A3" s="2" t="s">
        <v>51</v>
      </c>
    </row>
    <row r="4" spans="1:7" x14ac:dyDescent="0.25">
      <c r="B4" t="s">
        <v>52</v>
      </c>
    </row>
    <row r="5" spans="1:7" x14ac:dyDescent="0.25">
      <c r="B5" t="s">
        <v>53</v>
      </c>
    </row>
    <row r="7" spans="1:7" x14ac:dyDescent="0.25">
      <c r="A7" s="2" t="s">
        <v>54</v>
      </c>
    </row>
    <row r="8" spans="1:7" x14ac:dyDescent="0.25">
      <c r="B8" t="s">
        <v>55</v>
      </c>
      <c r="C8" s="21" t="s">
        <v>56</v>
      </c>
    </row>
    <row r="10" spans="1:7" x14ac:dyDescent="0.25">
      <c r="A10" s="2" t="s">
        <v>57</v>
      </c>
    </row>
    <row r="11" spans="1:7" x14ac:dyDescent="0.25">
      <c r="B11" t="s">
        <v>58</v>
      </c>
    </row>
    <row r="14" spans="1:7" x14ac:dyDescent="0.25">
      <c r="A14" s="2" t="s">
        <v>59</v>
      </c>
    </row>
    <row r="15" spans="1:7" x14ac:dyDescent="0.25">
      <c r="B15" t="s">
        <v>60</v>
      </c>
    </row>
    <row r="16" spans="1:7" x14ac:dyDescent="0.25">
      <c r="B16" t="s">
        <v>61</v>
      </c>
      <c r="G16" s="22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B38" activePane="bottomRight" state="frozen"/>
      <selection pane="topRight" activeCell="C4" sqref="C4"/>
      <selection pane="bottomLeft" activeCell="C4" sqref="C4"/>
      <selection pane="bottomRight" activeCell="J52" sqref="J52"/>
    </sheetView>
  </sheetViews>
  <sheetFormatPr defaultColWidth="8.85546875" defaultRowHeight="15" x14ac:dyDescent="0.25"/>
  <cols>
    <col min="1" max="1" width="27.7109375" style="4" bestFit="1" customWidth="1"/>
    <col min="2" max="11" width="13.42578125" style="4" bestFit="1" customWidth="1"/>
    <col min="12" max="16384" width="8.85546875" style="4"/>
  </cols>
  <sheetData>
    <row r="1" spans="1:11" s="1" customFormat="1" x14ac:dyDescent="0.25">
      <c r="A1" s="1" t="s">
        <v>62</v>
      </c>
      <c r="B1" s="1" t="s">
        <v>63</v>
      </c>
      <c r="E1" s="27" t="str">
        <f>IF(B2&lt;&gt;B3, "A NEW VERSION OF THE WORKSHEET IS AVAILABLE", "")</f>
        <v/>
      </c>
      <c r="F1" s="27"/>
      <c r="G1" s="27"/>
      <c r="H1" s="27"/>
      <c r="I1" s="27"/>
      <c r="J1" s="27"/>
      <c r="K1" s="27"/>
    </row>
    <row r="2" spans="1:11" x14ac:dyDescent="0.25">
      <c r="A2" s="1" t="s">
        <v>64</v>
      </c>
      <c r="B2" s="4">
        <v>2.1</v>
      </c>
      <c r="E2" s="28" t="s">
        <v>65</v>
      </c>
      <c r="F2" s="28"/>
      <c r="G2" s="28"/>
      <c r="H2" s="28"/>
      <c r="I2" s="28"/>
      <c r="J2" s="28"/>
      <c r="K2" s="28"/>
    </row>
    <row r="3" spans="1:11" x14ac:dyDescent="0.25">
      <c r="A3" s="1" t="s">
        <v>66</v>
      </c>
      <c r="B3" s="4">
        <v>2.1</v>
      </c>
    </row>
    <row r="4" spans="1:11" x14ac:dyDescent="0.25">
      <c r="A4" s="1"/>
    </row>
    <row r="5" spans="1:11" x14ac:dyDescent="0.25">
      <c r="A5" s="1" t="s">
        <v>67</v>
      </c>
    </row>
    <row r="6" spans="1:11" x14ac:dyDescent="0.25">
      <c r="A6" s="4" t="s">
        <v>68</v>
      </c>
      <c r="B6" s="4">
        <f>IF(B9&gt;0, B9/B8, 0)</f>
        <v>1247.9179999999999</v>
      </c>
    </row>
    <row r="7" spans="1:11" x14ac:dyDescent="0.25">
      <c r="A7" s="4" t="s">
        <v>69</v>
      </c>
      <c r="B7">
        <v>1</v>
      </c>
    </row>
    <row r="8" spans="1:11" x14ac:dyDescent="0.25">
      <c r="A8" s="4" t="s">
        <v>70</v>
      </c>
      <c r="B8">
        <v>175</v>
      </c>
    </row>
    <row r="9" spans="1:11" x14ac:dyDescent="0.25">
      <c r="A9" s="4" t="s">
        <v>71</v>
      </c>
      <c r="B9">
        <v>218385.65</v>
      </c>
    </row>
    <row r="15" spans="1:11" x14ac:dyDescent="0.25">
      <c r="A15" s="1" t="s">
        <v>72</v>
      </c>
    </row>
    <row r="16" spans="1:11" s="18" customFormat="1" x14ac:dyDescent="0.25">
      <c r="A16" s="17" t="s">
        <v>73</v>
      </c>
      <c r="B16" s="12">
        <v>42825</v>
      </c>
      <c r="C16" s="12">
        <v>43190</v>
      </c>
      <c r="D16" s="12">
        <v>43555</v>
      </c>
      <c r="E16" s="12">
        <v>43921</v>
      </c>
      <c r="F16" s="12">
        <v>44286</v>
      </c>
      <c r="G16" s="12">
        <v>44651</v>
      </c>
      <c r="H16" s="12">
        <v>45016</v>
      </c>
      <c r="I16" s="12">
        <v>45382</v>
      </c>
      <c r="J16" s="12">
        <v>45747</v>
      </c>
      <c r="K16" s="12">
        <v>46112</v>
      </c>
    </row>
    <row r="17" spans="1:11" s="6" customFormat="1" x14ac:dyDescent="0.25">
      <c r="A17" s="6" t="s">
        <v>5</v>
      </c>
      <c r="B17">
        <v>112299.42</v>
      </c>
      <c r="C17">
        <v>123249.07</v>
      </c>
      <c r="D17">
        <v>157668.99</v>
      </c>
      <c r="E17">
        <v>139816.65</v>
      </c>
      <c r="F17">
        <v>156477.4</v>
      </c>
      <c r="G17">
        <v>243959.17</v>
      </c>
      <c r="H17">
        <v>243352.69</v>
      </c>
      <c r="I17">
        <v>229170.78</v>
      </c>
      <c r="J17">
        <v>218542.51</v>
      </c>
      <c r="K17">
        <v>232139.94</v>
      </c>
    </row>
    <row r="18" spans="1:11" s="6" customFormat="1" x14ac:dyDescent="0.25">
      <c r="A18" s="4" t="s">
        <v>74</v>
      </c>
      <c r="B18">
        <v>43843.03</v>
      </c>
      <c r="C18">
        <v>46137.01</v>
      </c>
      <c r="D18">
        <v>60877.05</v>
      </c>
      <c r="E18">
        <v>58039.99</v>
      </c>
      <c r="F18">
        <v>55100.81</v>
      </c>
      <c r="G18">
        <v>91076.61</v>
      </c>
      <c r="H18">
        <v>116597.19</v>
      </c>
      <c r="I18">
        <v>97506.39</v>
      </c>
      <c r="J18">
        <v>95097.3</v>
      </c>
      <c r="K18">
        <v>92628.07</v>
      </c>
    </row>
    <row r="19" spans="1:11" s="6" customFormat="1" x14ac:dyDescent="0.25">
      <c r="A19" s="4" t="s">
        <v>75</v>
      </c>
      <c r="B19">
        <v>4538.13</v>
      </c>
      <c r="C19">
        <v>-99.31</v>
      </c>
      <c r="D19">
        <v>96.71</v>
      </c>
      <c r="E19">
        <v>565.24</v>
      </c>
      <c r="F19">
        <v>-1516.77</v>
      </c>
      <c r="G19">
        <v>7597.87</v>
      </c>
      <c r="H19">
        <v>3358.89</v>
      </c>
      <c r="I19">
        <v>-4409.3500000000004</v>
      </c>
      <c r="J19">
        <v>96.65</v>
      </c>
      <c r="K19">
        <v>-989.62</v>
      </c>
    </row>
    <row r="20" spans="1:11" s="6" customFormat="1" x14ac:dyDescent="0.25">
      <c r="A20" s="4" t="s">
        <v>76</v>
      </c>
      <c r="B20">
        <v>5220.83</v>
      </c>
      <c r="C20">
        <v>4440.43</v>
      </c>
      <c r="D20">
        <v>5316.56</v>
      </c>
      <c r="E20">
        <v>5319.92</v>
      </c>
      <c r="F20">
        <v>5708.42</v>
      </c>
      <c r="G20">
        <v>8028.29</v>
      </c>
      <c r="H20">
        <v>9526.91</v>
      </c>
      <c r="I20">
        <v>16612.61</v>
      </c>
      <c r="J20">
        <v>13124.85</v>
      </c>
      <c r="K20">
        <v>14333.15</v>
      </c>
    </row>
    <row r="21" spans="1:11" s="6" customFormat="1" x14ac:dyDescent="0.25">
      <c r="A21" s="4" t="s">
        <v>77</v>
      </c>
      <c r="B21">
        <v>15799.14</v>
      </c>
      <c r="C21">
        <v>16955.79</v>
      </c>
      <c r="D21">
        <v>20734.28</v>
      </c>
      <c r="E21">
        <v>21232.69</v>
      </c>
      <c r="F21">
        <v>20744.93</v>
      </c>
      <c r="G21">
        <v>28834.06</v>
      </c>
      <c r="H21">
        <v>33144.83</v>
      </c>
      <c r="I21">
        <v>40116.910000000003</v>
      </c>
      <c r="J21">
        <v>38700.5</v>
      </c>
      <c r="K21">
        <v>37485.96</v>
      </c>
    </row>
    <row r="22" spans="1:11" s="6" customFormat="1" x14ac:dyDescent="0.25">
      <c r="A22" s="4" t="s">
        <v>78</v>
      </c>
      <c r="B22">
        <v>17252.22</v>
      </c>
      <c r="C22">
        <v>17077.509999999998</v>
      </c>
      <c r="D22">
        <v>18758.87</v>
      </c>
      <c r="E22">
        <v>18533.580000000002</v>
      </c>
      <c r="F22">
        <v>19908.810000000001</v>
      </c>
      <c r="G22">
        <v>23264.1</v>
      </c>
      <c r="H22">
        <v>22419.32</v>
      </c>
      <c r="I22">
        <v>24509.58</v>
      </c>
      <c r="J22">
        <v>24888.99</v>
      </c>
      <c r="K22">
        <v>25998.98</v>
      </c>
    </row>
    <row r="23" spans="1:11" s="6" customFormat="1" x14ac:dyDescent="0.25">
      <c r="A23" s="4" t="s">
        <v>79</v>
      </c>
      <c r="B23">
        <v>13772.32</v>
      </c>
      <c r="C23">
        <v>14423.87</v>
      </c>
      <c r="D23">
        <v>16917.14</v>
      </c>
      <c r="E23">
        <v>15599.07</v>
      </c>
      <c r="F23">
        <v>17509.77</v>
      </c>
      <c r="G23">
        <v>27445.67</v>
      </c>
      <c r="H23">
        <v>25519.919999999998</v>
      </c>
      <c r="I23">
        <v>14453.57</v>
      </c>
      <c r="J23">
        <v>12137.26</v>
      </c>
      <c r="K23">
        <v>13348.99</v>
      </c>
    </row>
    <row r="24" spans="1:11" s="6" customFormat="1" x14ac:dyDescent="0.25">
      <c r="A24" s="4" t="s">
        <v>80</v>
      </c>
      <c r="B24">
        <v>7806.38</v>
      </c>
      <c r="C24">
        <v>2681.96</v>
      </c>
      <c r="D24">
        <v>5843.58</v>
      </c>
      <c r="E24">
        <v>4193.58</v>
      </c>
      <c r="F24">
        <v>5483.63</v>
      </c>
      <c r="G24">
        <v>9418.36</v>
      </c>
      <c r="H24">
        <v>7203.25</v>
      </c>
      <c r="I24">
        <v>9314.4500000000007</v>
      </c>
      <c r="J24">
        <v>9391.81</v>
      </c>
      <c r="K24">
        <v>13002.73</v>
      </c>
    </row>
    <row r="25" spans="1:11" s="6" customFormat="1" x14ac:dyDescent="0.25">
      <c r="A25" s="6" t="s">
        <v>8</v>
      </c>
      <c r="B25">
        <v>-3789.11</v>
      </c>
      <c r="C25">
        <v>10898.41</v>
      </c>
      <c r="D25">
        <v>1524.31</v>
      </c>
      <c r="E25">
        <v>-2883.63</v>
      </c>
      <c r="F25">
        <v>179.78</v>
      </c>
      <c r="G25">
        <v>1299.99</v>
      </c>
      <c r="H25">
        <v>1568.86</v>
      </c>
      <c r="I25">
        <v>-6005.23</v>
      </c>
      <c r="J25">
        <v>876.7</v>
      </c>
      <c r="K25">
        <v>737.82</v>
      </c>
    </row>
    <row r="26" spans="1:11" s="6" customFormat="1" x14ac:dyDescent="0.25">
      <c r="A26" s="6" t="s">
        <v>9</v>
      </c>
      <c r="B26">
        <v>5672.88</v>
      </c>
      <c r="C26">
        <v>5741.7</v>
      </c>
      <c r="D26">
        <v>7341.83</v>
      </c>
      <c r="E26">
        <v>8440.73</v>
      </c>
      <c r="F26">
        <v>9233.64</v>
      </c>
      <c r="G26">
        <v>9100.8700000000008</v>
      </c>
      <c r="H26">
        <v>9335.2000000000007</v>
      </c>
      <c r="I26">
        <v>9882.16</v>
      </c>
      <c r="J26">
        <v>10421.33</v>
      </c>
      <c r="K26">
        <v>11954.51</v>
      </c>
    </row>
    <row r="27" spans="1:11" s="6" customFormat="1" x14ac:dyDescent="0.25">
      <c r="A27" s="6" t="s">
        <v>10</v>
      </c>
      <c r="B27">
        <v>5072.2</v>
      </c>
      <c r="C27">
        <v>5454.74</v>
      </c>
      <c r="D27">
        <v>7660.1</v>
      </c>
      <c r="E27">
        <v>7533.46</v>
      </c>
      <c r="F27">
        <v>7606.71</v>
      </c>
      <c r="G27">
        <v>5462.2</v>
      </c>
      <c r="H27">
        <v>6298.7</v>
      </c>
      <c r="I27">
        <v>7507.57</v>
      </c>
      <c r="J27">
        <v>7340.95</v>
      </c>
      <c r="K27">
        <v>7167.06</v>
      </c>
    </row>
    <row r="28" spans="1:11" s="6" customFormat="1" x14ac:dyDescent="0.25">
      <c r="A28" s="6" t="s">
        <v>11</v>
      </c>
      <c r="B28">
        <v>-1390.56</v>
      </c>
      <c r="C28">
        <v>21135.16</v>
      </c>
      <c r="D28">
        <v>15840.6</v>
      </c>
      <c r="E28">
        <v>-1394.76</v>
      </c>
      <c r="F28">
        <v>13843.69</v>
      </c>
      <c r="G28">
        <v>50226.87</v>
      </c>
      <c r="H28">
        <v>18235.12</v>
      </c>
      <c r="I28">
        <v>-1147.04</v>
      </c>
      <c r="J28">
        <v>8412.8700000000008</v>
      </c>
      <c r="K28">
        <v>15968.69</v>
      </c>
    </row>
    <row r="29" spans="1:11" s="6" customFormat="1" x14ac:dyDescent="0.25">
      <c r="A29" s="6" t="s">
        <v>12</v>
      </c>
      <c r="B29">
        <v>2778.01</v>
      </c>
      <c r="C29">
        <v>3392.33</v>
      </c>
      <c r="D29">
        <v>6718.43</v>
      </c>
      <c r="E29">
        <v>-2568.41</v>
      </c>
      <c r="F29">
        <v>5653.9</v>
      </c>
      <c r="G29">
        <v>8477.5499999999993</v>
      </c>
      <c r="H29">
        <v>10159.77</v>
      </c>
      <c r="I29">
        <v>3762.57</v>
      </c>
      <c r="J29">
        <v>5239.09</v>
      </c>
      <c r="K29">
        <v>5082.87</v>
      </c>
    </row>
    <row r="30" spans="1:11" s="6" customFormat="1" x14ac:dyDescent="0.25">
      <c r="A30" s="6" t="s">
        <v>13</v>
      </c>
      <c r="B30">
        <v>-4240.8</v>
      </c>
      <c r="C30">
        <v>13434.33</v>
      </c>
      <c r="D30">
        <v>10218.33</v>
      </c>
      <c r="E30">
        <v>1556.54</v>
      </c>
      <c r="F30">
        <v>7490.22</v>
      </c>
      <c r="G30">
        <v>40153.93</v>
      </c>
      <c r="H30">
        <v>8760.4</v>
      </c>
      <c r="I30">
        <v>-4437.4399999999996</v>
      </c>
      <c r="J30">
        <v>3420.51</v>
      </c>
      <c r="K30">
        <v>10793.87</v>
      </c>
    </row>
    <row r="31" spans="1:11" s="6" customFormat="1" x14ac:dyDescent="0.25">
      <c r="A31" s="6" t="s">
        <v>81</v>
      </c>
      <c r="B31">
        <v>970.24</v>
      </c>
      <c r="C31">
        <v>1144.95</v>
      </c>
      <c r="D31">
        <v>1488.42</v>
      </c>
      <c r="E31">
        <v>1144.95</v>
      </c>
      <c r="F31">
        <v>2994.02</v>
      </c>
      <c r="G31">
        <v>6228.17</v>
      </c>
      <c r="H31">
        <v>4396.46</v>
      </c>
      <c r="I31">
        <v>4490.78</v>
      </c>
      <c r="J31">
        <v>4490.78</v>
      </c>
      <c r="K31">
        <v>4989.76</v>
      </c>
    </row>
    <row r="32" spans="1:11" s="6" customFormat="1" x14ac:dyDescent="0.25"/>
    <row r="33" spans="1:11" x14ac:dyDescent="0.25">
      <c r="A33" s="6"/>
    </row>
    <row r="34" spans="1:11" x14ac:dyDescent="0.25">
      <c r="A34" s="6"/>
    </row>
    <row r="35" spans="1:11" x14ac:dyDescent="0.25">
      <c r="A35" s="6"/>
    </row>
    <row r="36" spans="1:11" x14ac:dyDescent="0.25">
      <c r="A36" s="6"/>
    </row>
    <row r="37" spans="1:11" x14ac:dyDescent="0.25">
      <c r="A37" s="6"/>
    </row>
    <row r="38" spans="1:11" x14ac:dyDescent="0.25">
      <c r="A38" s="6"/>
    </row>
    <row r="39" spans="1:11" x14ac:dyDescent="0.25">
      <c r="A39" s="6"/>
    </row>
    <row r="40" spans="1:11" x14ac:dyDescent="0.25">
      <c r="A40" s="1" t="s">
        <v>82</v>
      </c>
    </row>
    <row r="41" spans="1:11" s="18" customFormat="1" x14ac:dyDescent="0.25">
      <c r="A41" s="17" t="s">
        <v>73</v>
      </c>
      <c r="B41" s="12">
        <v>45382</v>
      </c>
      <c r="C41" s="12">
        <v>45473</v>
      </c>
      <c r="D41" s="12">
        <v>45565</v>
      </c>
      <c r="E41" s="12">
        <v>45657</v>
      </c>
      <c r="F41" s="12">
        <v>45747</v>
      </c>
      <c r="G41" s="12">
        <v>45838</v>
      </c>
      <c r="H41" s="12">
        <v>45930</v>
      </c>
      <c r="I41" s="12">
        <v>46022</v>
      </c>
      <c r="J41" s="12">
        <v>46112</v>
      </c>
      <c r="K41" s="12">
        <v>46203</v>
      </c>
    </row>
    <row r="42" spans="1:11" s="6" customFormat="1" x14ac:dyDescent="0.25">
      <c r="A42" s="6" t="s">
        <v>5</v>
      </c>
      <c r="B42">
        <v>58687.31</v>
      </c>
      <c r="C42">
        <v>54771.39</v>
      </c>
      <c r="D42">
        <v>53904.71</v>
      </c>
      <c r="E42">
        <v>53648.3</v>
      </c>
      <c r="F42">
        <v>56218.11</v>
      </c>
      <c r="G42">
        <v>53178.12</v>
      </c>
      <c r="H42">
        <v>58689.29</v>
      </c>
      <c r="I42">
        <v>57002.400000000001</v>
      </c>
      <c r="J42">
        <v>63270.13</v>
      </c>
      <c r="K42">
        <v>60794.29</v>
      </c>
    </row>
    <row r="43" spans="1:11" s="6" customFormat="1" x14ac:dyDescent="0.25">
      <c r="A43" s="6" t="s">
        <v>6</v>
      </c>
      <c r="B43">
        <v>52086.68</v>
      </c>
      <c r="C43">
        <v>48076.92</v>
      </c>
      <c r="D43">
        <v>47788.92</v>
      </c>
      <c r="E43">
        <v>47744.81</v>
      </c>
      <c r="F43">
        <v>49658.89</v>
      </c>
      <c r="G43">
        <v>45750.58</v>
      </c>
      <c r="H43">
        <v>49792.75</v>
      </c>
      <c r="I43">
        <v>48802.7</v>
      </c>
      <c r="J43">
        <v>53441.47</v>
      </c>
      <c r="K43">
        <v>51529.95</v>
      </c>
    </row>
    <row r="44" spans="1:11" s="6" customFormat="1" x14ac:dyDescent="0.25">
      <c r="A44" s="6" t="s">
        <v>8</v>
      </c>
      <c r="B44">
        <v>-381.56</v>
      </c>
      <c r="C44">
        <v>-5.51</v>
      </c>
      <c r="D44">
        <v>616.67999999999995</v>
      </c>
      <c r="E44">
        <v>141.82</v>
      </c>
      <c r="F44">
        <v>149.19</v>
      </c>
      <c r="G44">
        <v>236.27</v>
      </c>
      <c r="H44">
        <v>-6.11</v>
      </c>
      <c r="I44">
        <v>465.17</v>
      </c>
      <c r="J44">
        <v>42.49</v>
      </c>
      <c r="K44">
        <v>-16.649999999999999</v>
      </c>
    </row>
    <row r="45" spans="1:11" s="6" customFormat="1" x14ac:dyDescent="0.25">
      <c r="A45" s="6" t="s">
        <v>9</v>
      </c>
      <c r="B45">
        <v>2567.9499999999998</v>
      </c>
      <c r="C45">
        <v>2535.4299999999998</v>
      </c>
      <c r="D45">
        <v>2596.7399999999998</v>
      </c>
      <c r="E45">
        <v>2569.19</v>
      </c>
      <c r="F45">
        <v>2719.97</v>
      </c>
      <c r="G45">
        <v>2744.3</v>
      </c>
      <c r="H45">
        <v>2893</v>
      </c>
      <c r="I45">
        <v>3048.81</v>
      </c>
      <c r="J45">
        <v>3268.4</v>
      </c>
      <c r="K45">
        <v>3639.65</v>
      </c>
    </row>
    <row r="46" spans="1:11" s="6" customFormat="1" x14ac:dyDescent="0.25">
      <c r="A46" s="6" t="s">
        <v>10</v>
      </c>
      <c r="B46">
        <v>1842.25</v>
      </c>
      <c r="C46">
        <v>1776.71</v>
      </c>
      <c r="D46">
        <v>1971.4</v>
      </c>
      <c r="E46">
        <v>1804.09</v>
      </c>
      <c r="F46">
        <v>1788.75</v>
      </c>
      <c r="G46">
        <v>1852.43</v>
      </c>
      <c r="H46">
        <v>1774.96</v>
      </c>
      <c r="I46">
        <v>1747.29</v>
      </c>
      <c r="J46">
        <v>1792.38</v>
      </c>
      <c r="K46">
        <v>1770.51</v>
      </c>
    </row>
    <row r="47" spans="1:11" s="6" customFormat="1" x14ac:dyDescent="0.25">
      <c r="A47" s="6" t="s">
        <v>11</v>
      </c>
      <c r="B47">
        <v>1808.87</v>
      </c>
      <c r="C47">
        <v>2376.8200000000002</v>
      </c>
      <c r="D47">
        <v>2164.33</v>
      </c>
      <c r="E47">
        <v>1672.03</v>
      </c>
      <c r="F47">
        <v>2199.69</v>
      </c>
      <c r="G47">
        <v>3067.08</v>
      </c>
      <c r="H47">
        <v>4222.47</v>
      </c>
      <c r="I47">
        <v>3868.77</v>
      </c>
      <c r="J47">
        <v>4810.37</v>
      </c>
      <c r="K47">
        <v>3837.53</v>
      </c>
    </row>
    <row r="48" spans="1:11" s="6" customFormat="1" x14ac:dyDescent="0.25">
      <c r="A48" s="6" t="s">
        <v>12</v>
      </c>
      <c r="B48">
        <v>1254.31</v>
      </c>
      <c r="C48">
        <v>1458.25</v>
      </c>
      <c r="D48">
        <v>1405.49</v>
      </c>
      <c r="E48">
        <v>1376.54</v>
      </c>
      <c r="F48">
        <v>998.81</v>
      </c>
      <c r="G48">
        <v>1059.72</v>
      </c>
      <c r="H48">
        <v>1039.3800000000001</v>
      </c>
      <c r="I48">
        <v>1138.4000000000001</v>
      </c>
      <c r="J48">
        <v>1845.37</v>
      </c>
      <c r="K48">
        <v>1452.29</v>
      </c>
    </row>
    <row r="49" spans="1:11" s="6" customFormat="1" x14ac:dyDescent="0.25">
      <c r="A49" s="6" t="s">
        <v>13</v>
      </c>
      <c r="B49">
        <v>611.48</v>
      </c>
      <c r="C49">
        <v>959.61</v>
      </c>
      <c r="D49">
        <v>833.45</v>
      </c>
      <c r="E49">
        <v>326.64</v>
      </c>
      <c r="F49">
        <v>1300.81</v>
      </c>
      <c r="G49">
        <v>2077.6799999999998</v>
      </c>
      <c r="H49">
        <v>3101.75</v>
      </c>
      <c r="I49">
        <v>2688.7</v>
      </c>
      <c r="J49">
        <v>2925.74</v>
      </c>
      <c r="K49">
        <v>2318.35</v>
      </c>
    </row>
    <row r="50" spans="1:11" x14ac:dyDescent="0.25">
      <c r="A50" s="6" t="s">
        <v>7</v>
      </c>
      <c r="B50">
        <v>6600.63</v>
      </c>
      <c r="C50">
        <v>6694.47</v>
      </c>
      <c r="D50">
        <v>6115.79</v>
      </c>
      <c r="E50">
        <v>5903.49</v>
      </c>
      <c r="F50">
        <v>6559.22</v>
      </c>
      <c r="G50">
        <v>7427.54</v>
      </c>
      <c r="H50">
        <v>8896.5400000000009</v>
      </c>
      <c r="I50">
        <v>8199.7000000000007</v>
      </c>
      <c r="J50">
        <v>9828.66</v>
      </c>
      <c r="K50">
        <v>9264.34</v>
      </c>
    </row>
    <row r="51" spans="1:11" x14ac:dyDescent="0.25">
      <c r="A51" s="6"/>
    </row>
    <row r="52" spans="1:11" x14ac:dyDescent="0.25">
      <c r="A52" s="6"/>
    </row>
    <row r="53" spans="1:11" x14ac:dyDescent="0.25">
      <c r="A53" s="6"/>
    </row>
    <row r="54" spans="1:11" x14ac:dyDescent="0.25">
      <c r="A54" s="6"/>
    </row>
    <row r="55" spans="1:11" x14ac:dyDescent="0.25">
      <c r="A55" s="1" t="s">
        <v>83</v>
      </c>
    </row>
    <row r="56" spans="1:11" s="18" customFormat="1" x14ac:dyDescent="0.25">
      <c r="A56" s="17" t="s">
        <v>73</v>
      </c>
      <c r="B56" s="12">
        <v>42825</v>
      </c>
      <c r="C56" s="12">
        <v>43190</v>
      </c>
      <c r="D56" s="12">
        <v>43555</v>
      </c>
      <c r="E56" s="12">
        <v>43921</v>
      </c>
      <c r="F56" s="12">
        <v>44286</v>
      </c>
      <c r="G56" s="12">
        <v>44651</v>
      </c>
      <c r="H56" s="12">
        <v>45016</v>
      </c>
      <c r="I56" s="12">
        <v>45382</v>
      </c>
      <c r="J56" s="12">
        <v>45747</v>
      </c>
      <c r="K56" s="12">
        <v>46112</v>
      </c>
    </row>
    <row r="57" spans="1:11" x14ac:dyDescent="0.25">
      <c r="A57" s="6" t="s">
        <v>30</v>
      </c>
      <c r="B57">
        <v>970.24</v>
      </c>
      <c r="C57">
        <v>1144.95</v>
      </c>
      <c r="D57">
        <v>1144.94</v>
      </c>
      <c r="E57">
        <v>1144.95</v>
      </c>
      <c r="F57">
        <v>1197.6099999999999</v>
      </c>
      <c r="G57">
        <v>1221.21</v>
      </c>
      <c r="H57">
        <v>1221.24</v>
      </c>
      <c r="I57">
        <v>1247.44</v>
      </c>
      <c r="J57">
        <v>1247.44</v>
      </c>
      <c r="K57">
        <v>1247.44</v>
      </c>
    </row>
    <row r="58" spans="1:11" x14ac:dyDescent="0.25">
      <c r="A58" s="6" t="s">
        <v>31</v>
      </c>
      <c r="B58">
        <v>36849.08</v>
      </c>
      <c r="C58">
        <v>59725.67</v>
      </c>
      <c r="D58">
        <v>67780.14</v>
      </c>
      <c r="E58">
        <v>72431.350000000006</v>
      </c>
      <c r="F58">
        <v>73041.16</v>
      </c>
      <c r="G58">
        <v>113221.83</v>
      </c>
      <c r="H58">
        <v>101860.86</v>
      </c>
      <c r="I58">
        <v>90788.32</v>
      </c>
      <c r="J58">
        <v>89922.19</v>
      </c>
      <c r="K58">
        <v>100920.21</v>
      </c>
    </row>
    <row r="59" spans="1:11" x14ac:dyDescent="0.25">
      <c r="A59" s="6" t="s">
        <v>32</v>
      </c>
      <c r="B59">
        <v>83014.490000000005</v>
      </c>
      <c r="C59">
        <v>92147.05</v>
      </c>
      <c r="D59">
        <v>100816.22</v>
      </c>
      <c r="E59">
        <v>116328.2</v>
      </c>
      <c r="F59">
        <v>88501.41</v>
      </c>
      <c r="G59">
        <v>75561.350000000006</v>
      </c>
      <c r="H59">
        <v>84893.05</v>
      </c>
      <c r="I59">
        <v>87082.12</v>
      </c>
      <c r="J59">
        <v>94801.05</v>
      </c>
      <c r="K59">
        <v>92381.68</v>
      </c>
    </row>
    <row r="60" spans="1:11" x14ac:dyDescent="0.25">
      <c r="A60" s="6" t="s">
        <v>33</v>
      </c>
      <c r="B60">
        <v>51613.56</v>
      </c>
      <c r="C60">
        <v>55704.47</v>
      </c>
      <c r="D60">
        <v>63032.14</v>
      </c>
      <c r="E60">
        <v>59244.62</v>
      </c>
      <c r="F60">
        <v>81169.009999999995</v>
      </c>
      <c r="G60">
        <v>92417.279999999999</v>
      </c>
      <c r="H60">
        <v>97420.63</v>
      </c>
      <c r="I60">
        <v>90194.54</v>
      </c>
      <c r="J60">
        <v>89487.9</v>
      </c>
      <c r="K60">
        <v>101965.29</v>
      </c>
    </row>
    <row r="61" spans="1:11" s="1" customFormat="1" x14ac:dyDescent="0.25">
      <c r="A61" s="1" t="s">
        <v>34</v>
      </c>
      <c r="B61">
        <v>172447.37</v>
      </c>
      <c r="C61">
        <v>208722.14</v>
      </c>
      <c r="D61">
        <v>232773.44</v>
      </c>
      <c r="E61">
        <v>249149.12</v>
      </c>
      <c r="F61">
        <v>243909.19</v>
      </c>
      <c r="G61">
        <v>282421.67</v>
      </c>
      <c r="H61">
        <v>285395.78000000003</v>
      </c>
      <c r="I61">
        <v>269312.42</v>
      </c>
      <c r="J61">
        <v>275458.58</v>
      </c>
      <c r="K61">
        <v>296514.62</v>
      </c>
    </row>
    <row r="62" spans="1:11" x14ac:dyDescent="0.25">
      <c r="A62" s="6" t="s">
        <v>35</v>
      </c>
      <c r="B62">
        <v>92006.55</v>
      </c>
      <c r="C62">
        <v>96104.89</v>
      </c>
      <c r="D62">
        <v>124441.91</v>
      </c>
      <c r="E62">
        <v>134550.66</v>
      </c>
      <c r="F62">
        <v>135775.18</v>
      </c>
      <c r="G62">
        <v>133287.82999999999</v>
      </c>
      <c r="H62">
        <v>146621.46</v>
      </c>
      <c r="I62">
        <v>148814.38</v>
      </c>
      <c r="J62">
        <v>150914.06</v>
      </c>
      <c r="K62">
        <v>179908.13</v>
      </c>
    </row>
    <row r="63" spans="1:11" x14ac:dyDescent="0.25">
      <c r="A63" s="6" t="s">
        <v>36</v>
      </c>
      <c r="B63">
        <v>15784.13</v>
      </c>
      <c r="C63">
        <v>16614.41</v>
      </c>
      <c r="D63">
        <v>18641.21</v>
      </c>
      <c r="E63">
        <v>19496.830000000002</v>
      </c>
      <c r="F63">
        <v>19007.400000000001</v>
      </c>
      <c r="G63">
        <v>22045.55</v>
      </c>
      <c r="H63">
        <v>31213.02</v>
      </c>
      <c r="I63">
        <v>34355.53</v>
      </c>
      <c r="J63">
        <v>41622.35</v>
      </c>
      <c r="K63">
        <v>28496.71</v>
      </c>
    </row>
    <row r="64" spans="1:11" x14ac:dyDescent="0.25">
      <c r="A64" s="6" t="s">
        <v>37</v>
      </c>
      <c r="B64">
        <v>12457.12</v>
      </c>
      <c r="C64">
        <v>17899.47</v>
      </c>
      <c r="D64">
        <v>5738.17</v>
      </c>
      <c r="E64">
        <v>6285.18</v>
      </c>
      <c r="F64">
        <v>10681.93</v>
      </c>
      <c r="G64">
        <v>13139.85</v>
      </c>
      <c r="H64">
        <v>8410.31</v>
      </c>
      <c r="I64">
        <v>6257.57</v>
      </c>
      <c r="J64">
        <v>6194.11</v>
      </c>
      <c r="K64">
        <v>7088.85</v>
      </c>
    </row>
    <row r="65" spans="1:11" x14ac:dyDescent="0.25">
      <c r="A65" s="6" t="s">
        <v>38</v>
      </c>
      <c r="B65">
        <v>52199.57</v>
      </c>
      <c r="C65">
        <v>78103.37</v>
      </c>
      <c r="D65">
        <v>83952.15</v>
      </c>
      <c r="E65">
        <v>88816.45</v>
      </c>
      <c r="F65">
        <v>78444.679999999993</v>
      </c>
      <c r="G65">
        <v>113948.44</v>
      </c>
      <c r="H65">
        <v>99150.99</v>
      </c>
      <c r="I65">
        <v>79884.94</v>
      </c>
      <c r="J65">
        <v>76728.06</v>
      </c>
      <c r="K65">
        <v>81020.929999999993</v>
      </c>
    </row>
    <row r="66" spans="1:11" s="1" customFormat="1" x14ac:dyDescent="0.25">
      <c r="A66" s="1" t="s">
        <v>34</v>
      </c>
      <c r="B66">
        <v>172447.37</v>
      </c>
      <c r="C66">
        <v>208722.14</v>
      </c>
      <c r="D66">
        <v>232773.44</v>
      </c>
      <c r="E66">
        <v>249149.12</v>
      </c>
      <c r="F66">
        <v>243909.19</v>
      </c>
      <c r="G66">
        <v>282421.67</v>
      </c>
      <c r="H66">
        <v>285395.78000000003</v>
      </c>
      <c r="I66">
        <v>269312.42</v>
      </c>
      <c r="J66">
        <v>275458.58</v>
      </c>
      <c r="K66">
        <v>296514.62</v>
      </c>
    </row>
    <row r="67" spans="1:11" s="6" customFormat="1" x14ac:dyDescent="0.25">
      <c r="A67" s="6" t="s">
        <v>84</v>
      </c>
      <c r="B67">
        <v>11586.82</v>
      </c>
      <c r="C67">
        <v>12415.52</v>
      </c>
      <c r="D67">
        <v>11811</v>
      </c>
      <c r="E67">
        <v>7884.91</v>
      </c>
      <c r="F67">
        <v>9539.84</v>
      </c>
      <c r="G67">
        <v>12246.43</v>
      </c>
      <c r="H67">
        <v>8257.24</v>
      </c>
      <c r="I67">
        <v>6263.53</v>
      </c>
      <c r="J67">
        <v>5260.06</v>
      </c>
      <c r="K67">
        <v>4916.8900000000003</v>
      </c>
    </row>
    <row r="68" spans="1:11" x14ac:dyDescent="0.25">
      <c r="A68" s="6" t="s">
        <v>41</v>
      </c>
      <c r="B68">
        <v>24803.82</v>
      </c>
      <c r="C68">
        <v>28331.040000000001</v>
      </c>
      <c r="D68">
        <v>31656.1</v>
      </c>
      <c r="E68">
        <v>31068.720000000001</v>
      </c>
      <c r="F68">
        <v>33276.379999999997</v>
      </c>
      <c r="G68">
        <v>48824.39</v>
      </c>
      <c r="H68">
        <v>54415.33</v>
      </c>
      <c r="I68">
        <v>49157.51</v>
      </c>
      <c r="J68">
        <v>44589.94</v>
      </c>
      <c r="K68">
        <v>47249.22</v>
      </c>
    </row>
    <row r="69" spans="1:11" x14ac:dyDescent="0.25">
      <c r="A69" s="4" t="s">
        <v>85</v>
      </c>
      <c r="B69">
        <v>4921.05</v>
      </c>
      <c r="C69">
        <v>7937.85</v>
      </c>
      <c r="D69">
        <v>3341.37</v>
      </c>
      <c r="E69">
        <v>8054.72</v>
      </c>
      <c r="F69">
        <v>5782.18</v>
      </c>
      <c r="G69">
        <v>15898.93</v>
      </c>
      <c r="H69">
        <v>13357.26</v>
      </c>
      <c r="I69">
        <v>8677.7199999999993</v>
      </c>
      <c r="J69">
        <v>11646.98</v>
      </c>
      <c r="K69">
        <v>10057.530000000001</v>
      </c>
    </row>
    <row r="70" spans="1:11" x14ac:dyDescent="0.25">
      <c r="A70" s="4" t="s">
        <v>86</v>
      </c>
      <c r="B70">
        <v>970436562</v>
      </c>
      <c r="C70">
        <v>1203340563</v>
      </c>
      <c r="D70">
        <v>1203331928</v>
      </c>
      <c r="E70">
        <v>1203332459</v>
      </c>
      <c r="F70">
        <v>1203334622</v>
      </c>
      <c r="G70">
        <v>1221566453</v>
      </c>
      <c r="H70">
        <v>12212353070</v>
      </c>
      <c r="I70">
        <v>12474347611</v>
      </c>
      <c r="J70">
        <v>12477659071</v>
      </c>
      <c r="K70">
        <v>12477659071</v>
      </c>
    </row>
    <row r="71" spans="1:11" x14ac:dyDescent="0.25">
      <c r="A71" s="4" t="s">
        <v>87</v>
      </c>
    </row>
    <row r="72" spans="1:11" x14ac:dyDescent="0.25">
      <c r="A72" s="4" t="s">
        <v>88</v>
      </c>
      <c r="B72">
        <v>10</v>
      </c>
      <c r="C72">
        <v>10</v>
      </c>
      <c r="D72">
        <v>10</v>
      </c>
      <c r="E72">
        <v>10</v>
      </c>
      <c r="F72">
        <v>10</v>
      </c>
      <c r="G72">
        <v>10</v>
      </c>
      <c r="H72">
        <v>1</v>
      </c>
      <c r="I72">
        <v>1</v>
      </c>
      <c r="J72">
        <v>1</v>
      </c>
      <c r="K72">
        <v>1</v>
      </c>
    </row>
    <row r="74" spans="1:11" x14ac:dyDescent="0.25">
      <c r="A74" s="6"/>
    </row>
    <row r="75" spans="1:11" x14ac:dyDescent="0.25">
      <c r="A75" s="6"/>
    </row>
    <row r="76" spans="1:11" x14ac:dyDescent="0.25">
      <c r="A76" s="6"/>
    </row>
    <row r="77" spans="1:11" x14ac:dyDescent="0.25">
      <c r="A77" s="6"/>
    </row>
    <row r="78" spans="1:11" x14ac:dyDescent="0.25">
      <c r="A78" s="6"/>
    </row>
    <row r="79" spans="1:11" x14ac:dyDescent="0.25">
      <c r="A79" s="6"/>
    </row>
    <row r="80" spans="1:11" x14ac:dyDescent="0.25">
      <c r="A80" s="1" t="s">
        <v>89</v>
      </c>
    </row>
    <row r="81" spans="1:11" s="18" customFormat="1" x14ac:dyDescent="0.25">
      <c r="A81" s="17" t="s">
        <v>73</v>
      </c>
      <c r="B81" s="12">
        <v>42825</v>
      </c>
      <c r="C81" s="12">
        <v>43190</v>
      </c>
      <c r="D81" s="12">
        <v>43555</v>
      </c>
      <c r="E81" s="12">
        <v>43921</v>
      </c>
      <c r="F81" s="12">
        <v>44286</v>
      </c>
      <c r="G81" s="12">
        <v>44651</v>
      </c>
      <c r="H81" s="12">
        <v>45016</v>
      </c>
      <c r="I81" s="12">
        <v>45382</v>
      </c>
      <c r="J81" s="12">
        <v>45747</v>
      </c>
      <c r="K81" s="12">
        <v>46112</v>
      </c>
    </row>
    <row r="82" spans="1:11" s="1" customFormat="1" x14ac:dyDescent="0.25">
      <c r="A82" s="6" t="s">
        <v>46</v>
      </c>
      <c r="B82">
        <v>10824.36</v>
      </c>
      <c r="C82">
        <v>8023.39</v>
      </c>
      <c r="D82">
        <v>25335.95</v>
      </c>
      <c r="E82">
        <v>20168.72</v>
      </c>
      <c r="F82">
        <v>44326.68</v>
      </c>
      <c r="G82">
        <v>44380.99</v>
      </c>
      <c r="H82">
        <v>21683.08</v>
      </c>
      <c r="I82">
        <v>20300.669999999998</v>
      </c>
      <c r="J82">
        <v>23137.58</v>
      </c>
      <c r="K82">
        <v>35064.46</v>
      </c>
    </row>
    <row r="83" spans="1:11" s="6" customFormat="1" x14ac:dyDescent="0.25">
      <c r="A83" s="6" t="s">
        <v>47</v>
      </c>
      <c r="B83">
        <v>-9489.65</v>
      </c>
      <c r="C83">
        <v>-11730.31</v>
      </c>
      <c r="D83">
        <v>-29176.45</v>
      </c>
      <c r="E83">
        <v>-14012.06</v>
      </c>
      <c r="F83">
        <v>-9437.27</v>
      </c>
      <c r="G83">
        <v>-10905.02</v>
      </c>
      <c r="H83">
        <v>-18179.45</v>
      </c>
      <c r="I83">
        <v>-14252.74</v>
      </c>
      <c r="J83">
        <v>-13611.02</v>
      </c>
      <c r="K83">
        <v>-14397.35</v>
      </c>
    </row>
    <row r="84" spans="1:11" s="6" customFormat="1" x14ac:dyDescent="0.25">
      <c r="A84" s="6" t="s">
        <v>48</v>
      </c>
      <c r="B84">
        <v>-2579.36</v>
      </c>
      <c r="C84">
        <v>6639.94</v>
      </c>
      <c r="D84">
        <v>-672.7</v>
      </c>
      <c r="E84">
        <v>-1694.62</v>
      </c>
      <c r="F84">
        <v>-37089.67</v>
      </c>
      <c r="G84">
        <v>-23401.09</v>
      </c>
      <c r="H84">
        <v>-6980.69</v>
      </c>
      <c r="I84">
        <v>-11096.99</v>
      </c>
      <c r="J84">
        <v>-7002.44</v>
      </c>
      <c r="K84">
        <v>-21387.119999999999</v>
      </c>
    </row>
    <row r="85" spans="1:11" s="1" customFormat="1" x14ac:dyDescent="0.25">
      <c r="A85" s="6" t="s">
        <v>49</v>
      </c>
      <c r="B85">
        <v>-1244.6500000000001</v>
      </c>
      <c r="C85">
        <v>2933.02</v>
      </c>
      <c r="D85">
        <v>-4513.2</v>
      </c>
      <c r="E85">
        <v>4462.04</v>
      </c>
      <c r="F85">
        <v>-2200.2600000000002</v>
      </c>
      <c r="G85">
        <v>10074.879999999999</v>
      </c>
      <c r="H85">
        <v>-3477.06</v>
      </c>
      <c r="I85">
        <v>-5049.0600000000004</v>
      </c>
      <c r="J85">
        <v>2524.12</v>
      </c>
      <c r="K85">
        <v>-720.01</v>
      </c>
    </row>
    <row r="86" spans="1:11" x14ac:dyDescent="0.25">
      <c r="A86" s="6"/>
    </row>
    <row r="87" spans="1:11" x14ac:dyDescent="0.25">
      <c r="A87" s="6"/>
    </row>
    <row r="88" spans="1:11" x14ac:dyDescent="0.25">
      <c r="A88" s="6"/>
    </row>
    <row r="89" spans="1:11" x14ac:dyDescent="0.25">
      <c r="A89" s="6"/>
    </row>
    <row r="90" spans="1:11" s="1" customFormat="1" x14ac:dyDescent="0.25">
      <c r="A90" s="1" t="s">
        <v>90</v>
      </c>
      <c r="B90">
        <v>45.99</v>
      </c>
      <c r="C90">
        <v>57.11</v>
      </c>
      <c r="D90">
        <v>52.1</v>
      </c>
      <c r="E90">
        <v>26.96</v>
      </c>
      <c r="F90">
        <v>81.19</v>
      </c>
      <c r="G90">
        <v>130.72</v>
      </c>
      <c r="H90">
        <v>104.5</v>
      </c>
      <c r="I90">
        <v>155.85</v>
      </c>
      <c r="J90">
        <v>154.24</v>
      </c>
      <c r="K90">
        <v>191.86</v>
      </c>
    </row>
    <row r="92" spans="1:11" s="1" customFormat="1" x14ac:dyDescent="0.25">
      <c r="A92" s="1" t="s">
        <v>91</v>
      </c>
    </row>
    <row r="93" spans="1:11" x14ac:dyDescent="0.25">
      <c r="A93" s="4" t="s">
        <v>92</v>
      </c>
      <c r="B93" s="24">
        <v>1126.6199999999999</v>
      </c>
      <c r="C93" s="24">
        <v>1126.48</v>
      </c>
      <c r="D93" s="24">
        <v>1126.49</v>
      </c>
      <c r="E93" s="24">
        <v>1126.49</v>
      </c>
      <c r="F93" s="24">
        <v>1196.5899999999999</v>
      </c>
      <c r="G93" s="24">
        <v>1221.3</v>
      </c>
      <c r="H93" s="24">
        <v>1222.1500000000001</v>
      </c>
      <c r="I93" s="24">
        <v>1248.3499999999999</v>
      </c>
      <c r="J93" s="24">
        <v>1248.3499999999999</v>
      </c>
      <c r="K93" s="24">
        <v>1248.3499999999999</v>
      </c>
    </row>
  </sheetData>
  <mergeCells count="2">
    <mergeCell ref="E1:K1"/>
    <mergeCell ref="E2:K2"/>
  </mergeCells>
  <conditionalFormatting sqref="E1:K1">
    <cfRule type="cellIs" dxfId="4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2A8D0-EBAA-4237-96D9-EED450C3D875}">
  <dimension ref="A1:K11"/>
  <sheetViews>
    <sheetView tabSelected="1" zoomScale="60" workbookViewId="0">
      <selection activeCell="H11" sqref="H11"/>
    </sheetView>
  </sheetViews>
  <sheetFormatPr defaultRowHeight="15" x14ac:dyDescent="0.25"/>
  <cols>
    <col min="1" max="1" width="11.85546875" style="25" customWidth="1"/>
    <col min="4" max="4" width="18.28515625" customWidth="1"/>
    <col min="5" max="5" width="18.140625" customWidth="1"/>
    <col min="6" max="6" width="18.42578125" customWidth="1"/>
    <col min="7" max="7" width="18" customWidth="1"/>
    <col min="8" max="8" width="15" customWidth="1"/>
    <col min="9" max="9" width="21.85546875" customWidth="1"/>
    <col min="10" max="10" width="21.28515625" customWidth="1"/>
    <col min="11" max="11" width="17.5703125" customWidth="1"/>
  </cols>
  <sheetData>
    <row r="1" spans="1:11" x14ac:dyDescent="0.25">
      <c r="A1" s="25" t="s">
        <v>93</v>
      </c>
      <c r="B1" t="s">
        <v>94</v>
      </c>
      <c r="C1" t="s">
        <v>6</v>
      </c>
      <c r="D1" t="s">
        <v>7</v>
      </c>
      <c r="E1" t="s">
        <v>95</v>
      </c>
      <c r="F1" t="s">
        <v>96</v>
      </c>
      <c r="G1" t="s">
        <v>97</v>
      </c>
      <c r="H1" t="s">
        <v>98</v>
      </c>
      <c r="I1" t="s">
        <v>99</v>
      </c>
      <c r="J1" t="s">
        <v>100</v>
      </c>
      <c r="K1" t="s">
        <v>101</v>
      </c>
    </row>
    <row r="2" spans="1:11" x14ac:dyDescent="0.25">
      <c r="A2" s="12">
        <v>45382</v>
      </c>
      <c r="B2">
        <v>58687.31</v>
      </c>
      <c r="C2">
        <v>52086.68</v>
      </c>
      <c r="D2">
        <f>B2-C2</f>
        <v>6600.6299999999974</v>
      </c>
      <c r="E2">
        <v>611.48</v>
      </c>
      <c r="F2" s="26">
        <f>D2/B2</f>
        <v>0.11247116284593718</v>
      </c>
      <c r="G2" s="26">
        <f>E2/B2</f>
        <v>1.0419288258398622E-2</v>
      </c>
      <c r="H2" s="26">
        <f>C2/B2</f>
        <v>0.88752883715406283</v>
      </c>
      <c r="I2" s="26"/>
      <c r="J2" s="26"/>
      <c r="K2" s="26"/>
    </row>
    <row r="3" spans="1:11" x14ac:dyDescent="0.25">
      <c r="A3" s="12">
        <v>45473</v>
      </c>
      <c r="B3">
        <v>54771.39</v>
      </c>
      <c r="C3">
        <v>48076.92</v>
      </c>
      <c r="D3">
        <f>B3-C3</f>
        <v>6694.4700000000012</v>
      </c>
      <c r="E3">
        <v>959.61</v>
      </c>
      <c r="F3" s="26">
        <f t="shared" ref="F3:F11" si="0">D3/B3</f>
        <v>0.12222567292887768</v>
      </c>
      <c r="G3" s="26">
        <f t="shared" ref="G3:G11" si="1">E3/B3</f>
        <v>1.7520278378912787E-2</v>
      </c>
      <c r="H3" s="26">
        <f t="shared" ref="H3:H11" si="2">C3/B3</f>
        <v>0.87777432707112235</v>
      </c>
      <c r="I3" s="26">
        <f>(B3-B2)/B2</f>
        <v>-6.6725157448859013E-2</v>
      </c>
      <c r="J3" s="26"/>
      <c r="K3" s="26">
        <f>F3-F2</f>
        <v>9.7545100829404957E-3</v>
      </c>
    </row>
    <row r="4" spans="1:11" x14ac:dyDescent="0.25">
      <c r="A4" s="12">
        <v>45565</v>
      </c>
      <c r="B4">
        <v>53904.71</v>
      </c>
      <c r="C4">
        <v>47788.92</v>
      </c>
      <c r="D4">
        <f t="shared" ref="D4:D11" si="3">B4-C4</f>
        <v>6115.7900000000009</v>
      </c>
      <c r="E4">
        <v>833.45</v>
      </c>
      <c r="F4" s="26">
        <f t="shared" si="0"/>
        <v>0.11345557744397476</v>
      </c>
      <c r="G4" s="26">
        <f t="shared" si="1"/>
        <v>1.5461543156432899E-2</v>
      </c>
      <c r="H4" s="26">
        <f t="shared" si="2"/>
        <v>0.88654442255602528</v>
      </c>
      <c r="I4" s="26">
        <f t="shared" ref="I4:I11" si="4">(B4-B3)/B3</f>
        <v>-1.5823589651458549E-2</v>
      </c>
      <c r="J4" s="26"/>
      <c r="K4" s="26">
        <f t="shared" ref="K4:K11" si="5">F4-F3</f>
        <v>-8.770095484902915E-3</v>
      </c>
    </row>
    <row r="5" spans="1:11" x14ac:dyDescent="0.25">
      <c r="A5" s="12">
        <v>45657</v>
      </c>
      <c r="B5">
        <v>53648.3</v>
      </c>
      <c r="C5">
        <v>47744.81</v>
      </c>
      <c r="D5">
        <f t="shared" si="3"/>
        <v>5903.4900000000052</v>
      </c>
      <c r="E5">
        <v>326.64</v>
      </c>
      <c r="F5" s="26">
        <f t="shared" si="0"/>
        <v>0.11004057910502299</v>
      </c>
      <c r="G5" s="26">
        <f t="shared" si="1"/>
        <v>6.0885433462010904E-3</v>
      </c>
      <c r="H5" s="26">
        <f t="shared" si="2"/>
        <v>0.88995942089497704</v>
      </c>
      <c r="I5" s="26">
        <f t="shared" si="4"/>
        <v>-4.7567271950817698E-3</v>
      </c>
      <c r="J5" s="26"/>
      <c r="K5" s="26">
        <f t="shared" si="5"/>
        <v>-3.4149983389517719E-3</v>
      </c>
    </row>
    <row r="6" spans="1:11" x14ac:dyDescent="0.25">
      <c r="A6" s="12">
        <v>45747</v>
      </c>
      <c r="B6">
        <v>56218.11</v>
      </c>
      <c r="C6">
        <v>49658.89</v>
      </c>
      <c r="D6">
        <f t="shared" si="3"/>
        <v>6559.2200000000012</v>
      </c>
      <c r="E6">
        <v>1300.81</v>
      </c>
      <c r="F6" s="26">
        <f t="shared" si="0"/>
        <v>0.11667450222001417</v>
      </c>
      <c r="G6" s="26">
        <f t="shared" si="1"/>
        <v>2.3138629171275946E-2</v>
      </c>
      <c r="H6" s="26">
        <f t="shared" si="2"/>
        <v>0.88332549777998581</v>
      </c>
      <c r="I6" s="26">
        <f t="shared" si="4"/>
        <v>4.7901051850664372E-2</v>
      </c>
      <c r="J6" s="26">
        <f>(B6-B2)/B2</f>
        <v>-4.2073831634130053E-2</v>
      </c>
      <c r="K6" s="26">
        <f t="shared" si="5"/>
        <v>6.6339231149911831E-3</v>
      </c>
    </row>
    <row r="7" spans="1:11" x14ac:dyDescent="0.25">
      <c r="A7" s="12">
        <v>45838</v>
      </c>
      <c r="B7">
        <v>53178.12</v>
      </c>
      <c r="C7">
        <v>45750.58</v>
      </c>
      <c r="D7">
        <f t="shared" si="3"/>
        <v>7427.5400000000009</v>
      </c>
      <c r="E7">
        <v>2077.6799999999998</v>
      </c>
      <c r="F7" s="26">
        <f t="shared" si="0"/>
        <v>0.13967285793480477</v>
      </c>
      <c r="G7" s="26">
        <f t="shared" si="1"/>
        <v>3.9070204061369594E-2</v>
      </c>
      <c r="H7" s="26">
        <f t="shared" si="2"/>
        <v>0.86032714206519523</v>
      </c>
      <c r="I7" s="26">
        <f t="shared" si="4"/>
        <v>-5.4074923543320788E-2</v>
      </c>
      <c r="J7" s="26">
        <f t="shared" ref="J7:J11" si="6">(B7-B3)/B3</f>
        <v>-2.9089457105251425E-2</v>
      </c>
      <c r="K7" s="26">
        <f t="shared" si="5"/>
        <v>2.29983557147906E-2</v>
      </c>
    </row>
    <row r="8" spans="1:11" x14ac:dyDescent="0.25">
      <c r="A8" s="12">
        <v>45930</v>
      </c>
      <c r="B8">
        <v>58689.29</v>
      </c>
      <c r="C8">
        <v>49792.75</v>
      </c>
      <c r="D8">
        <f t="shared" si="3"/>
        <v>8896.5400000000009</v>
      </c>
      <c r="E8">
        <v>3101.75</v>
      </c>
      <c r="F8" s="26">
        <f t="shared" si="0"/>
        <v>0.15158711240159833</v>
      </c>
      <c r="G8" s="26">
        <f t="shared" si="1"/>
        <v>5.2850358216976215E-2</v>
      </c>
      <c r="H8" s="26">
        <f t="shared" si="2"/>
        <v>0.84841288759840172</v>
      </c>
      <c r="I8" s="26">
        <f t="shared" si="4"/>
        <v>0.10363604429791798</v>
      </c>
      <c r="J8" s="26">
        <f t="shared" si="6"/>
        <v>8.875996179183604E-2</v>
      </c>
      <c r="K8" s="26">
        <f t="shared" si="5"/>
        <v>1.1914254466793561E-2</v>
      </c>
    </row>
    <row r="9" spans="1:11" x14ac:dyDescent="0.25">
      <c r="A9" s="12">
        <v>46022</v>
      </c>
      <c r="B9">
        <v>57002.400000000001</v>
      </c>
      <c r="C9">
        <v>48802.7</v>
      </c>
      <c r="D9">
        <f t="shared" si="3"/>
        <v>8199.7000000000044</v>
      </c>
      <c r="E9">
        <v>2688.7</v>
      </c>
      <c r="F9" s="26">
        <f t="shared" si="0"/>
        <v>0.14384832919315685</v>
      </c>
      <c r="G9" s="26">
        <f t="shared" si="1"/>
        <v>4.7168189409568718E-2</v>
      </c>
      <c r="H9" s="26">
        <f t="shared" si="2"/>
        <v>0.85615167080684318</v>
      </c>
      <c r="I9" s="26">
        <f t="shared" si="4"/>
        <v>-2.8742722905661312E-2</v>
      </c>
      <c r="J9" s="26">
        <f t="shared" si="6"/>
        <v>6.2520154413094137E-2</v>
      </c>
      <c r="K9" s="26">
        <f t="shared" si="5"/>
        <v>-7.7387832084414854E-3</v>
      </c>
    </row>
    <row r="10" spans="1:11" x14ac:dyDescent="0.25">
      <c r="A10" s="12">
        <v>46112</v>
      </c>
      <c r="B10">
        <v>63270.13</v>
      </c>
      <c r="C10">
        <v>53441.47</v>
      </c>
      <c r="D10">
        <f t="shared" si="3"/>
        <v>9828.6599999999962</v>
      </c>
      <c r="E10">
        <v>2925.74</v>
      </c>
      <c r="F10" s="26">
        <f t="shared" si="0"/>
        <v>0.15534439395019414</v>
      </c>
      <c r="G10" s="26">
        <f t="shared" si="1"/>
        <v>4.6242041860827532E-2</v>
      </c>
      <c r="H10" s="26">
        <f t="shared" si="2"/>
        <v>0.84465560604980583</v>
      </c>
      <c r="I10" s="26">
        <f t="shared" si="4"/>
        <v>0.10995554573140773</v>
      </c>
      <c r="J10" s="26">
        <f t="shared" si="6"/>
        <v>0.12544036076630816</v>
      </c>
      <c r="K10" s="26">
        <f t="shared" si="5"/>
        <v>1.1496064757037294E-2</v>
      </c>
    </row>
    <row r="11" spans="1:11" x14ac:dyDescent="0.25">
      <c r="A11" s="12">
        <v>46203</v>
      </c>
      <c r="B11">
        <v>60794.29</v>
      </c>
      <c r="C11">
        <v>51529.95</v>
      </c>
      <c r="D11">
        <f t="shared" si="3"/>
        <v>9264.3400000000038</v>
      </c>
      <c r="E11">
        <v>2318.35</v>
      </c>
      <c r="F11" s="26">
        <f t="shared" si="0"/>
        <v>0.15238832462719779</v>
      </c>
      <c r="G11" s="26">
        <f t="shared" si="1"/>
        <v>3.8134337945224785E-2</v>
      </c>
      <c r="H11" s="26">
        <f t="shared" si="2"/>
        <v>0.84761167537280224</v>
      </c>
      <c r="I11" s="26">
        <f t="shared" si="4"/>
        <v>-3.9131261465718443E-2</v>
      </c>
      <c r="J11" s="26">
        <f t="shared" si="6"/>
        <v>0.14321999348604272</v>
      </c>
      <c r="K11" s="26">
        <f t="shared" si="5"/>
        <v>-2.9560693229963575E-3</v>
      </c>
    </row>
  </sheetData>
  <conditionalFormatting sqref="F2:F1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11">
    <cfRule type="cellIs" dxfId="3" priority="1" operator="lessThan">
      <formula>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D80F6-FB1E-4372-9A62-CA9A8E7C0FD7}">
  <dimension ref="A1:B9"/>
  <sheetViews>
    <sheetView workbookViewId="0">
      <selection activeCell="B11" sqref="B11"/>
    </sheetView>
  </sheetViews>
  <sheetFormatPr defaultRowHeight="15" x14ac:dyDescent="0.25"/>
  <cols>
    <col min="1" max="1" width="32" customWidth="1"/>
    <col min="2" max="2" width="15.42578125" customWidth="1"/>
  </cols>
  <sheetData>
    <row r="1" spans="1:2" x14ac:dyDescent="0.25">
      <c r="A1" t="s">
        <v>102</v>
      </c>
      <c r="B1" s="26">
        <f>MAX(Analysis!F2:F100)</f>
        <v>0.15534439395019414</v>
      </c>
    </row>
    <row r="2" spans="1:2" x14ac:dyDescent="0.25">
      <c r="A2" t="s">
        <v>103</v>
      </c>
      <c r="B2" s="26" t="str">
        <f>TEXT(INDEX(Analysis!A2:A100,MATCH(MAX(Analysis!F2:F100),Analysis!F2:F100,0)),"mmm yyyy")</f>
        <v>Mar 2026</v>
      </c>
    </row>
    <row r="3" spans="1:2" x14ac:dyDescent="0.25">
      <c r="A3" t="s">
        <v>104</v>
      </c>
      <c r="B3" s="26">
        <f>MIN(Analysis!F2:F100)</f>
        <v>0.11004057910502299</v>
      </c>
    </row>
    <row r="4" spans="1:2" x14ac:dyDescent="0.25">
      <c r="A4" t="s">
        <v>105</v>
      </c>
      <c r="B4" s="26" t="str">
        <f>TEXT(INDEX(Analysis!A2:A100,MATCH(MIN(Analysis!F2:F100),Analysis!F2:F100,0)),"mmm yyyy")</f>
        <v>Dec 2024</v>
      </c>
    </row>
    <row r="5" spans="1:2" x14ac:dyDescent="0.25">
      <c r="A5" t="s">
        <v>106</v>
      </c>
      <c r="B5" s="26">
        <f>AVERAGE(Analysis!F2:F100)</f>
        <v>0.13177085126507787</v>
      </c>
    </row>
    <row r="6" spans="1:2" x14ac:dyDescent="0.25">
      <c r="A6" t="s">
        <v>107</v>
      </c>
      <c r="B6" s="26" cm="1">
        <f t="array" ref="B6">INDEX(Analysis!F2:F100,COUNT(Analysis!F2:F100))</f>
        <v>0.15238832462719779</v>
      </c>
    </row>
    <row r="7" spans="1:2" x14ac:dyDescent="0.25">
      <c r="A7" t="s">
        <v>108</v>
      </c>
      <c r="B7" s="26" cm="1">
        <f t="array" ref="B7">(INDEX(Analysis!B2:B100,COUNT(Analysis!B2:B100))-Analysis!B2)/Analysis!B2</f>
        <v>3.590179887270354E-2</v>
      </c>
    </row>
    <row r="8" spans="1:2" x14ac:dyDescent="0.25">
      <c r="A8" t="s">
        <v>109</v>
      </c>
      <c r="B8">
        <f>COUNTIF(Analysis!K2:K100,"&lt;0")</f>
        <v>4</v>
      </c>
    </row>
    <row r="9" spans="1:2" x14ac:dyDescent="0.25">
      <c r="A9" t="s">
        <v>110</v>
      </c>
      <c r="B9">
        <f>COUNT(Analysis!K2:K100)</f>
        <v>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A64F6-9C8E-4214-B070-7CDBCD74F3FE}">
  <sheetPr filterMode="1"/>
  <dimension ref="A1:K11"/>
  <sheetViews>
    <sheetView zoomScale="77" workbookViewId="0">
      <selection activeCell="H7" sqref="H7"/>
    </sheetView>
  </sheetViews>
  <sheetFormatPr defaultRowHeight="15" x14ac:dyDescent="0.25"/>
  <cols>
    <col min="4" max="4" width="16.5703125" customWidth="1"/>
    <col min="5" max="5" width="12" customWidth="1"/>
    <col min="6" max="6" width="20.140625" customWidth="1"/>
    <col min="8" max="8" width="15" customWidth="1"/>
    <col min="9" max="9" width="24.42578125" customWidth="1"/>
    <col min="10" max="10" width="23.140625" customWidth="1"/>
    <col min="11" max="11" width="18" customWidth="1"/>
  </cols>
  <sheetData>
    <row r="1" spans="1:11" x14ac:dyDescent="0.25">
      <c r="A1" s="25" t="s">
        <v>93</v>
      </c>
      <c r="B1" t="s">
        <v>94</v>
      </c>
      <c r="C1" t="s">
        <v>6</v>
      </c>
      <c r="D1" t="s">
        <v>7</v>
      </c>
      <c r="E1" t="s">
        <v>95</v>
      </c>
      <c r="F1" t="s">
        <v>96</v>
      </c>
      <c r="G1" t="s">
        <v>97</v>
      </c>
      <c r="H1" t="s">
        <v>98</v>
      </c>
      <c r="I1" t="s">
        <v>99</v>
      </c>
      <c r="J1" t="s">
        <v>100</v>
      </c>
      <c r="K1" t="s">
        <v>101</v>
      </c>
    </row>
    <row r="2" spans="1:11" hidden="1" x14ac:dyDescent="0.25">
      <c r="A2" s="12">
        <v>46112</v>
      </c>
      <c r="B2">
        <v>63270.13</v>
      </c>
      <c r="C2">
        <v>53441.47</v>
      </c>
      <c r="D2">
        <v>9828.6599999999962</v>
      </c>
      <c r="E2">
        <v>2925.74</v>
      </c>
      <c r="F2" s="26">
        <v>0.15534439395019414</v>
      </c>
      <c r="G2" s="26">
        <v>4.6242041860827532E-2</v>
      </c>
      <c r="H2" s="26">
        <v>0.84465560604980583</v>
      </c>
      <c r="I2" s="26">
        <v>0.10995554573140773</v>
      </c>
      <c r="J2" s="26">
        <v>0.12544036076630816</v>
      </c>
      <c r="K2" s="26">
        <v>1.1496064757037294E-2</v>
      </c>
    </row>
    <row r="3" spans="1:11" hidden="1" x14ac:dyDescent="0.25">
      <c r="A3" s="12">
        <v>46203</v>
      </c>
      <c r="B3">
        <v>60794.29</v>
      </c>
      <c r="C3">
        <v>51529.95</v>
      </c>
      <c r="D3">
        <v>9264.3400000000038</v>
      </c>
      <c r="E3">
        <v>2318.35</v>
      </c>
      <c r="F3" s="26">
        <v>0.15238832462719779</v>
      </c>
      <c r="G3" s="26">
        <v>3.8134337945224785E-2</v>
      </c>
      <c r="H3" s="26">
        <v>0.84761167537280224</v>
      </c>
      <c r="I3" s="26">
        <v>-3.9131261465718443E-2</v>
      </c>
      <c r="J3" s="26">
        <v>0.14321999348604272</v>
      </c>
      <c r="K3" s="26">
        <v>-2.9560693229963575E-3</v>
      </c>
    </row>
    <row r="4" spans="1:11" hidden="1" x14ac:dyDescent="0.25">
      <c r="A4" s="12">
        <v>45930</v>
      </c>
      <c r="B4">
        <v>58689.29</v>
      </c>
      <c r="C4">
        <v>49792.75</v>
      </c>
      <c r="D4">
        <v>8896.5400000000009</v>
      </c>
      <c r="E4">
        <v>3101.75</v>
      </c>
      <c r="F4" s="26">
        <v>0.15158711240159833</v>
      </c>
      <c r="G4" s="26">
        <v>5.2850358216976215E-2</v>
      </c>
      <c r="H4" s="26">
        <v>0.84841288759840172</v>
      </c>
      <c r="I4" s="26">
        <v>0.10363604429791798</v>
      </c>
      <c r="J4" s="26">
        <v>8.875996179183604E-2</v>
      </c>
      <c r="K4" s="26">
        <v>1.1914254466793561E-2</v>
      </c>
    </row>
    <row r="5" spans="1:11" hidden="1" x14ac:dyDescent="0.25">
      <c r="A5" s="12">
        <v>46022</v>
      </c>
      <c r="B5">
        <v>57002.400000000001</v>
      </c>
      <c r="C5">
        <v>48802.7</v>
      </c>
      <c r="D5">
        <v>8199.7000000000044</v>
      </c>
      <c r="E5">
        <v>2688.7</v>
      </c>
      <c r="F5" s="26">
        <v>0.14384832919315685</v>
      </c>
      <c r="G5" s="26">
        <v>4.7168189409568718E-2</v>
      </c>
      <c r="H5" s="26">
        <v>0.85615167080684318</v>
      </c>
      <c r="I5" s="26">
        <v>-2.8742722905661312E-2</v>
      </c>
      <c r="J5" s="26">
        <v>6.2520154413094137E-2</v>
      </c>
      <c r="K5" s="26">
        <v>-7.7387832084414854E-3</v>
      </c>
    </row>
    <row r="6" spans="1:11" hidden="1" x14ac:dyDescent="0.25">
      <c r="A6" s="12">
        <v>45838</v>
      </c>
      <c r="B6">
        <v>53178.12</v>
      </c>
      <c r="C6">
        <v>45750.58</v>
      </c>
      <c r="D6">
        <v>7427.5400000000009</v>
      </c>
      <c r="E6">
        <v>2077.6799999999998</v>
      </c>
      <c r="F6" s="26">
        <v>0.13967285793480477</v>
      </c>
      <c r="G6" s="26">
        <v>3.9070204061369594E-2</v>
      </c>
      <c r="H6" s="26">
        <v>0.86032714206519523</v>
      </c>
      <c r="I6" s="26">
        <v>-5.4074923543320788E-2</v>
      </c>
      <c r="J6" s="26">
        <v>-2.9089457105251425E-2</v>
      </c>
      <c r="K6" s="26">
        <v>2.29983557147906E-2</v>
      </c>
    </row>
    <row r="7" spans="1:11" x14ac:dyDescent="0.25">
      <c r="A7" s="12">
        <v>45473</v>
      </c>
      <c r="B7">
        <v>54771.39</v>
      </c>
      <c r="C7">
        <v>48076.92</v>
      </c>
      <c r="D7">
        <v>6694.4700000000012</v>
      </c>
      <c r="E7">
        <v>959.61</v>
      </c>
      <c r="F7" s="26">
        <v>0.12222567292887768</v>
      </c>
      <c r="G7" s="26">
        <v>1.7520278378912787E-2</v>
      </c>
      <c r="H7" s="26">
        <v>0.87777432707112235</v>
      </c>
      <c r="I7" s="26">
        <v>-6.6725157448859013E-2</v>
      </c>
      <c r="J7" s="26"/>
      <c r="K7" s="26">
        <v>9.7545100829404957E-3</v>
      </c>
    </row>
    <row r="8" spans="1:11" x14ac:dyDescent="0.25">
      <c r="A8" s="12">
        <v>45747</v>
      </c>
      <c r="B8">
        <v>56218.11</v>
      </c>
      <c r="C8">
        <v>49658.89</v>
      </c>
      <c r="D8">
        <v>6559.2200000000012</v>
      </c>
      <c r="E8">
        <v>1300.81</v>
      </c>
      <c r="F8" s="26">
        <v>0.11667450222001417</v>
      </c>
      <c r="G8" s="26">
        <v>2.3138629171275946E-2</v>
      </c>
      <c r="H8" s="26">
        <v>0.88332549777998581</v>
      </c>
      <c r="I8" s="26">
        <v>4.7901051850664372E-2</v>
      </c>
      <c r="J8" s="26">
        <v>-4.2073831634130053E-2</v>
      </c>
      <c r="K8" s="26">
        <v>6.6339231149911831E-3</v>
      </c>
    </row>
    <row r="9" spans="1:11" x14ac:dyDescent="0.25">
      <c r="A9" s="12">
        <v>45565</v>
      </c>
      <c r="B9">
        <v>53904.71</v>
      </c>
      <c r="C9">
        <v>47788.92</v>
      </c>
      <c r="D9">
        <v>6115.7900000000009</v>
      </c>
      <c r="E9">
        <v>833.45</v>
      </c>
      <c r="F9" s="26">
        <v>0.11345557744397476</v>
      </c>
      <c r="G9" s="26">
        <v>1.5461543156432899E-2</v>
      </c>
      <c r="H9" s="26">
        <v>0.88654442255602528</v>
      </c>
      <c r="I9" s="26">
        <v>-1.5823589651458549E-2</v>
      </c>
      <c r="J9" s="26"/>
      <c r="K9" s="26">
        <v>-8.770095484902915E-3</v>
      </c>
    </row>
    <row r="10" spans="1:11" x14ac:dyDescent="0.25">
      <c r="A10" s="12">
        <v>45382</v>
      </c>
      <c r="B10">
        <v>58687.31</v>
      </c>
      <c r="C10">
        <v>52086.68</v>
      </c>
      <c r="D10">
        <v>6600.6299999999974</v>
      </c>
      <c r="E10">
        <v>611.48</v>
      </c>
      <c r="F10" s="26">
        <v>0.11247116284593718</v>
      </c>
      <c r="G10" s="26">
        <v>1.0419288258398622E-2</v>
      </c>
      <c r="H10" s="26">
        <v>0.88752883715406283</v>
      </c>
      <c r="I10" s="26"/>
      <c r="J10" s="26"/>
      <c r="K10" s="26"/>
    </row>
    <row r="11" spans="1:11" x14ac:dyDescent="0.25">
      <c r="A11" s="12">
        <v>45657</v>
      </c>
      <c r="B11">
        <v>53648.3</v>
      </c>
      <c r="C11">
        <v>47744.81</v>
      </c>
      <c r="D11">
        <v>5903.4900000000052</v>
      </c>
      <c r="E11">
        <v>326.64</v>
      </c>
      <c r="F11" s="26">
        <v>0.11004057910502299</v>
      </c>
      <c r="G11" s="26">
        <v>6.0885433462010904E-3</v>
      </c>
      <c r="H11" s="26">
        <v>0.88995942089497704</v>
      </c>
      <c r="I11" s="26">
        <v>-4.7567271950817698E-3</v>
      </c>
      <c r="J11" s="26"/>
      <c r="K11" s="26">
        <v>-3.4149983389517719E-3</v>
      </c>
    </row>
  </sheetData>
  <autoFilter ref="A1:K11" xr:uid="{2F2A64F6-9C8E-4214-B070-7CDBCD74F3FE}">
    <filterColumn colId="5">
      <customFilters>
        <customFilter operator="lessThan" val="0.1318"/>
      </customFilters>
    </filterColumn>
  </autoFilter>
  <sortState xmlns:xlrd2="http://schemas.microsoft.com/office/spreadsheetml/2017/richdata2" ref="A2:K11">
    <sortCondition descending="1" ref="F2:F11"/>
  </sortState>
  <conditionalFormatting sqref="F2:F1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11">
    <cfRule type="cellIs" dxfId="2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Profit &amp; Loss</vt:lpstr>
      <vt:lpstr>Quarters</vt:lpstr>
      <vt:lpstr>Balance Sheet</vt:lpstr>
      <vt:lpstr>Cash Flow</vt:lpstr>
      <vt:lpstr>Customization</vt:lpstr>
      <vt:lpstr>Raw Data</vt:lpstr>
      <vt:lpstr>Analysis</vt:lpstr>
      <vt:lpstr>Summary</vt:lpstr>
      <vt:lpstr>Sorted_Filtered</vt:lpstr>
      <vt:lpstr>UPDATE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Pratyush</dc:creator>
  <cp:keywords/>
  <dc:description/>
  <cp:lastModifiedBy>Aayush Raj</cp:lastModifiedBy>
  <cp:revision/>
  <dcterms:created xsi:type="dcterms:W3CDTF">2012-08-17T09:55:37Z</dcterms:created>
  <dcterms:modified xsi:type="dcterms:W3CDTF">2026-10-20T20:56:53Z</dcterms:modified>
  <cp:category/>
  <cp:contentStatus/>
</cp:coreProperties>
</file>